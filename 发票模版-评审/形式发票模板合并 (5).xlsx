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tabRatio="991" firstSheet="4" activeTab="6"/>
  </bookViews>
  <sheets>
    <sheet name="FBU-加拿大谷仓发票模版-GST税率5%（正数）" sheetId="2" state="hidden" r:id="rId1"/>
    <sheet name="FBU-加拿大谷仓发票模版-GST税率5%（负数）" sheetId="3" state="hidden" r:id="rId2"/>
    <sheet name="FBU-加拿大谷仓发票模版-HST税率13%（正数）" sheetId="4" state="hidden" r:id="rId3"/>
    <sheet name="FBU-加拿大谷仓发票模版-HST税率13%（负数）" sheetId="5" state="hidden" r:id="rId4"/>
    <sheet name="FBU-温哥华模版-GST税率(0%、5%）正数" sheetId="6" r:id="rId5"/>
    <sheet name="FBU-温哥华模版-GST税率(0%、5%）负数" sheetId="7" r:id="rId6"/>
    <sheet name="FBU-温哥华模版-HST税率(（13%、14%、15%）正数" sheetId="8" r:id="rId7"/>
    <sheet name="FBU-温哥华模版-HST税率（13%、14%、15%）负数" sheetId="9" r:id="rId8"/>
    <sheet name="FBU-美国EL发票模板-US invoice（正数）" sheetId="10" r:id="rId9"/>
    <sheet name="FBU-美国EL发票模板-US credit note（负数）" sheetId="11" r:id="rId10"/>
    <sheet name="FBU-美国GA发票模板-GAUS invoice（正数）" sheetId="12" r:id="rId11"/>
    <sheet name="FBU-美国GA发票模板-GAUS credit note（负" sheetId="13" r:id="rId12"/>
    <sheet name="FBU-日本谷仓开票模版" sheetId="14" r:id="rId13"/>
    <sheet name="FBU-澳洲谷仓开票模板" sheetId="15" r:id="rId14"/>
    <sheet name="ABU-香港云颂开票模板" sheetId="16" r:id="rId15"/>
    <sheet name="ABU-深圳云颂开票模板" sheetId="17" r:id="rId16"/>
  </sheets>
  <calcPr calcId="144525"/>
</workbook>
</file>

<file path=xl/comments1.xml><?xml version="1.0" encoding="utf-8"?>
<comments xmlns="http://schemas.openxmlformats.org/spreadsheetml/2006/main">
  <authors>
    <author>tc={3B1E11F1-3BE9-4382-B95D-5D8FD62D05F5}</author>
    <author>tc={74500A5F-7F8F-4833-84AD-760CAD39C61E}</author>
  </authors>
  <commentList>
    <comment ref="F12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所有的模版内发票号码涉及年月日的，都是取开票日期的年月日吗？@陈宇玲 Reply: 不是的；美国/日本谷仓的发票号是年月日yyyymmdd，其余的谷仓主体是年月yyyyymm Reply: @陈宇玲 我的意思是具体是哪年哪月，是不是取的开票日期这个字段的值取填充。比如这里如果开票日期是05/04/2026，那发票号就是GCCA202605B0001 Reply: @刘倩 取审核日期更为准确（即开票当前日期）； Reply: @陈宇玲 好的，我理解就是发票实际生成当时的日期。</t>
        </r>
      </text>
    </comment>
    <comment ref="C13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这个序号，比如现在这个示例，是不是就是GCCA作为前缀，开票的实际日期所在年月，比如2026年06月，开具的第N张发票，这个N就是从0001开始，按顺序定后面的这个4位序号。等到 2026年07月了又从0001开始@陈宇玲 然后像美国/日本谷仓的就是开具当天的第几张发票，因为到了年月日</t>
        </r>
      </text>
    </comment>
  </commentList>
</comments>
</file>

<file path=xl/comments2.xml><?xml version="1.0" encoding="utf-8"?>
<comments xmlns="http://schemas.openxmlformats.org/spreadsheetml/2006/main">
  <authors>
    <author>tc={33FC7F3C-5C3D-4028-828F-C0628C39F870}</author>
    <author>tc={CE505345-7BA6-42A6-9CDB-32D7E09BFA94}</author>
  </authors>
  <commentList>
    <comment ref="D10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这两个文本的字体是不用加粗吗，前面两个我看是加粗的@陈宇玲 Reply: @刘倩 需要的 表格抬头字段均统一加粗</t>
        </r>
      </text>
    </comment>
    <comment ref="A14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针对这个模版是不是固定是这些收款信息， 不是取哪里的配置？@陈宇玲 Reply: 是的 都是固定默认收款信息</t>
        </r>
      </text>
    </comment>
  </commentList>
</comments>
</file>

<file path=xl/comments3.xml><?xml version="1.0" encoding="utf-8"?>
<comments xmlns="http://schemas.openxmlformats.org/spreadsheetml/2006/main">
  <authors>
    <author/>
    <author>tc={D9A914BC-A855-4EE5-9B47-8456225B0636}</author>
  </authors>
  <commentList>
    <comment ref="A10" authorId="0">
      <text>
        <r>
          <rPr>
            <b/>
            <sz val="9"/>
            <color rgb="FF000000"/>
            <rFont val="宋体"/>
            <charset val="134"/>
          </rPr>
          <t>zt21664:</t>
        </r>
        <r>
          <rPr>
            <sz val="9"/>
            <color rgb="FF000000"/>
            <rFont val="宋体"/>
            <charset val="134"/>
          </rPr>
          <t xml:space="preserve">
购买方名称</t>
        </r>
      </text>
    </comment>
    <comment ref="B17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@陈宇玲 是用这个币种符号吗 Reply: 是的 日元货币符号￥</t>
        </r>
      </text>
    </comment>
  </commentList>
</comments>
</file>

<file path=xl/comments4.xml><?xml version="1.0" encoding="utf-8"?>
<comments xmlns="http://schemas.openxmlformats.org/spreadsheetml/2006/main">
  <authors>
    <author>tc={94FC7C9C-05CA-42CA-948C-9A182274FA43}</author>
  </authors>
  <commentList>
    <comment ref="C23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这个值怎么取？根据客户账期变动，咋处理？@陈宇玲</t>
        </r>
      </text>
    </comment>
  </commentList>
</comments>
</file>

<file path=xl/sharedStrings.xml><?xml version="1.0" encoding="utf-8"?>
<sst xmlns="http://schemas.openxmlformats.org/spreadsheetml/2006/main" count="665" uniqueCount="251">
  <si>
    <t>GOODCANG LOGISTICS CANADA CORP.</t>
  </si>
  <si>
    <t>文本内容：默认
税率不同 对应文本内容不同
税率为GST：文本为RT0002（5%）
税率为HST：文本为RT0001（13%）</t>
  </si>
  <si>
    <t>5 Paget Road, Brampton, Ontario, L6T5S2</t>
  </si>
  <si>
    <r>
      <rPr>
        <sz val="10"/>
        <rFont val="Calibri"/>
        <charset val="134"/>
      </rPr>
      <t xml:space="preserve">GST/HST NO.: 772438263 </t>
    </r>
    <r>
      <rPr>
        <sz val="10"/>
        <color rgb="FFF54A45"/>
        <rFont val="Calibri"/>
        <charset val="134"/>
      </rPr>
      <t>RT0002</t>
    </r>
  </si>
  <si>
    <t>PST NO.: PST-1472-6656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</si>
  <si>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</si>
  <si>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</si>
  <si>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</si>
  <si>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</si>
  <si>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</si>
  <si>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</si>
  <si>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</si>
  <si>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Invoice. No.：发票号码 GCCA+yyyy+mm+B+序号（4位）
Invoice Date：开票日期
来源系统：ITS（关联方客户） 默认账期最后一天
来源系统：FPS(外部客户） 默认审核日期当天
Term：付款周期</t>
  </si>
  <si>
    <t>GCCA202606B0001</t>
  </si>
  <si>
    <t>30 days</t>
  </si>
  <si>
    <t>Description</t>
  </si>
  <si>
    <t>Amount</t>
  </si>
  <si>
    <r>
      <rPr>
        <sz val="10"/>
        <rFont val="Calibri"/>
        <charset val="134"/>
      </rPr>
      <t xml:space="preserve">GST </t>
    </r>
    <r>
      <rPr>
        <sz val="10"/>
        <color rgb="FFF54A45"/>
        <rFont val="Calibri"/>
        <charset val="134"/>
      </rPr>
      <t>5%</t>
    </r>
  </si>
  <si>
    <t>Total</t>
  </si>
  <si>
    <t>当税率为5%</t>
  </si>
  <si>
    <t>Description：开票品名+for+账期（mm/dd/yyyy-mm/dd/yyyy)</t>
  </si>
  <si>
    <t>TOTAL</t>
  </si>
  <si>
    <t>金额展示：发票币种+金额</t>
  </si>
  <si>
    <t>发票备注</t>
  </si>
  <si>
    <t>如有赋值发票备注</t>
  </si>
  <si>
    <t>Please remit to :</t>
  </si>
  <si>
    <t>文本内容：默认</t>
  </si>
  <si>
    <t>Beneficiary: GOODCANG LOGISTICS CANADA CORP.</t>
  </si>
  <si>
    <t>FSSC【销方收款信息】x</t>
  </si>
  <si>
    <t>Beneficiary's address: 5 Paget Road, Brampton, ON L6T 5S2</t>
  </si>
  <si>
    <t>FSSC【发票抬头信息】销售方地址</t>
  </si>
  <si>
    <t>Bank name: Aberdeen Centre Branch</t>
  </si>
  <si>
    <t>FSSC【销方收款信息】银行名称</t>
  </si>
  <si>
    <t>Bank Address: 1160-4151 Hazelbridge Way, Richmond V6X 4J7</t>
  </si>
  <si>
    <t>FSSC【销方收款信息】银行地址</t>
  </si>
  <si>
    <t>Bank Transit: 03395</t>
  </si>
  <si>
    <t>TRM特殊字段提供【Bank Transit】</t>
  </si>
  <si>
    <t>Fiancial Institution: 003</t>
  </si>
  <si>
    <t>TRM特殊字段提供【Fiancial Institution】</t>
  </si>
  <si>
    <t>SWIFT Code: ROYCCAT2</t>
  </si>
  <si>
    <t>FSSC【销方收款信息】银行联行码</t>
  </si>
  <si>
    <t>Account#: 033951001429(CAD)</t>
  </si>
  <si>
    <t>FSSC【销方收款信息】账户号（收款币种）</t>
  </si>
  <si>
    <t>客户名称</t>
  </si>
  <si>
    <t>客户地址</t>
  </si>
  <si>
    <t>Credit Note</t>
  </si>
  <si>
    <t>Credit. No.</t>
  </si>
  <si>
    <t>Credit. No.：发票号码 GCCA+yyyy+mm+B+序号（4位）
Invoice Date：开票日期
来源系统：ITS（关联方客户） 默认账期最后一天
来源系统：FPS(外部客户） 默认审核日期当天
Term：付款周期</t>
  </si>
  <si>
    <t>GST 5%</t>
  </si>
  <si>
    <t>FSSC【销方收款信息】账户名称</t>
  </si>
  <si>
    <r>
      <rPr>
        <sz val="10"/>
        <rFont val="Calibri"/>
        <charset val="134"/>
      </rPr>
      <t xml:space="preserve">GST/HST NO.: 772438263 </t>
    </r>
    <r>
      <rPr>
        <sz val="10"/>
        <color rgb="FFF54A45"/>
        <rFont val="Calibri"/>
        <charset val="134"/>
      </rPr>
      <t>RT0001</t>
    </r>
  </si>
  <si>
    <t>Invoice. No.：发票号码 GCCA+yyyy+mm+B+序号（4位)
Invoice Date：开票日期 (mm/dd/yyyy)
来源系统：ITS（关联方客户） 默认账期最后一天
来源系统：FPS(外部客户） 默认审核日期当天
Term：付款周期</t>
  </si>
  <si>
    <r>
      <t xml:space="preserve">HST </t>
    </r>
    <r>
      <rPr>
        <sz val="10"/>
        <color rgb="FFF54A45"/>
        <rFont val="Calibri"/>
        <charset val="134"/>
      </rPr>
      <t>13%</t>
    </r>
  </si>
  <si>
    <t>当税率为13%</t>
  </si>
  <si>
    <t>Credit. No.：发票号码 GCCA+yyyy+mm+B+序号（4位)
Invoice Date：开票日期 (mm/dd/yyyy)
来源系统：ITS（关联方客户） 默认账期最后一天
来源系统：FPS(外部客户） 默认审核日期当天
Term：付款周期</t>
  </si>
  <si>
    <r>
      <rPr>
        <sz val="10"/>
        <rFont val="Calibri"/>
        <charset val="134"/>
      </rPr>
      <t>HST</t>
    </r>
    <r>
      <rPr>
        <sz val="10"/>
        <color rgb="FFF54A45"/>
        <rFont val="Calibri"/>
        <charset val="134"/>
      </rPr>
      <t xml:space="preserve"> 13%</t>
    </r>
  </si>
  <si>
    <t>Zenda Logistics Corp.</t>
  </si>
  <si>
    <t>文本内容：默认
税率不同 对应文本内容不同
税率为GST：文本为RT0002（0%、5%）
税率为HST：文本为RT0001（13%、14%、15%）</t>
  </si>
  <si>
    <t>105-19159 22ND AVENUE SURREY BC V3Z 3S6 CANADA</t>
  </si>
  <si>
    <r>
      <rPr>
        <sz val="10"/>
        <rFont val="Calibri"/>
        <charset val="134"/>
      </rPr>
      <t xml:space="preserve">GST/HST NO.: 794845438 </t>
    </r>
    <r>
      <rPr>
        <sz val="10"/>
        <color rgb="FFF54A45"/>
        <rFont val="Calibri"/>
        <charset val="134"/>
      </rPr>
      <t>RT0002</t>
    </r>
  </si>
  <si>
    <t xml:space="preserve">Bill to: </t>
  </si>
  <si>
    <t>Invoice. No.：发票号码 YTTY+yyyy+mm+B+序号(4位）
Invoice Date：开票日期 (mm/dd/yyyy)
来源系统：ITS（关联方客户） 默认账期最后一天
来源系统：FPS(外部客户） 默认审核日期当天
Term：付款周期</t>
  </si>
  <si>
    <t>YTTY202605B0001</t>
  </si>
  <si>
    <t>May/28/2026</t>
  </si>
  <si>
    <t>CURRENCY: CANADIAN DOLLAR</t>
  </si>
  <si>
    <r>
      <rPr>
        <sz val="10"/>
        <color rgb="FFF54A45"/>
        <rFont val="Calibri"/>
        <charset val="134"/>
      </rPr>
      <t>GST</t>
    </r>
    <r>
      <rPr>
        <sz val="10"/>
        <rFont val="Calibri"/>
        <charset val="134"/>
      </rPr>
      <t xml:space="preserve"> 0%</t>
    </r>
  </si>
  <si>
    <t>当税率为0%、5%</t>
  </si>
  <si>
    <t>CAD 15</t>
  </si>
  <si>
    <t>CAD 0.00</t>
  </si>
  <si>
    <t>CAD 15.00</t>
  </si>
  <si>
    <t>Beneficiary: Zenda Logistics Corp.</t>
  </si>
  <si>
    <t>Beneficiary's address:105-19159 22ND AVENUE SURREY BC V3Z 3S6 CANADA</t>
  </si>
  <si>
    <t>Bank name: Scotiabank</t>
  </si>
  <si>
    <t>Bank Address: 2798 W Broadway, Vancouver, BC V6K 2G4</t>
  </si>
  <si>
    <t>SWIFT Code: NOSCCATT</t>
  </si>
  <si>
    <t>Account#: 0114618（CAD）</t>
  </si>
  <si>
    <t>Credit. No.：发票号码 YTTY+yyyy+mm+B+序号(4位）
Invoice Date：开票日期 (mm/dd/yyyy)
来源系统：ITS（关联方客户） 默认账期最后一天
来源系统：FPS(外部客户） 默认审核日期当天
Term：付款周期</t>
  </si>
  <si>
    <t>GST/HST NO.: 794845438 RT0001</t>
  </si>
  <si>
    <t>Invoice. No.：发票号码 YTTY+yyyy+mm+B+序号（4位)
Invoice Date：开票日期 (mm/dd/yyyy)
来源系统：ITS（关联方客户） 默认账期最后一天
来源系统：FPS(外部客户） 默认审核日期当天
Term：付款周期</t>
  </si>
  <si>
    <r>
      <t xml:space="preserve">HST </t>
    </r>
    <r>
      <rPr>
        <sz val="10"/>
        <color rgb="FFFF0000"/>
        <rFont val="宋体-简"/>
        <charset val="134"/>
      </rPr>
      <t>税率</t>
    </r>
  </si>
  <si>
    <t>当税率为13%、14%、15%</t>
  </si>
  <si>
    <r>
      <t>Description</t>
    </r>
    <r>
      <rPr>
        <b/>
        <sz val="10"/>
        <color rgb="FFFF0000"/>
        <rFont val="宋体-简"/>
        <charset val="134"/>
      </rPr>
      <t>：开票品名</t>
    </r>
    <r>
      <rPr>
        <b/>
        <sz val="10"/>
        <color rgb="FFFF0000"/>
        <rFont val="Calibri"/>
        <charset val="134"/>
      </rPr>
      <t>+for+</t>
    </r>
    <r>
      <rPr>
        <b/>
        <sz val="10"/>
        <color rgb="FFFF0000"/>
        <rFont val="宋体-简"/>
        <charset val="134"/>
      </rPr>
      <t>账期（</t>
    </r>
    <r>
      <rPr>
        <b/>
        <sz val="10"/>
        <color rgb="FFFF0000"/>
        <rFont val="Calibri"/>
        <charset val="134"/>
      </rPr>
      <t>mm/dd/yyyy-mm/dd/yyyy)</t>
    </r>
  </si>
  <si>
    <r>
      <t>金额展示：发票币种对应货币符号</t>
    </r>
    <r>
      <rPr>
        <sz val="10"/>
        <color rgb="FFFF0000"/>
        <rFont val="Calibri"/>
        <charset val="134"/>
      </rPr>
      <t>+</t>
    </r>
    <r>
      <rPr>
        <sz val="10"/>
        <color rgb="FFFF0000"/>
        <rFont val="宋体-简"/>
        <charset val="134"/>
      </rPr>
      <t>金额</t>
    </r>
  </si>
  <si>
    <t>Credit. No.：发票号码 YTTY+yyyy+mm+B+序号（4位)
Invoice Date：开票日期 (mm/dd/yyyy)
来源系统：ITS（关联方客户） 默认账期最后一天
来源系统：FPS(外部客户） 默认审核日期当天
Term：付款周期</t>
  </si>
  <si>
    <r>
      <rPr>
        <sz val="10"/>
        <color rgb="FFF54A45"/>
        <rFont val="Calibri"/>
        <charset val="134"/>
      </rPr>
      <t>HST</t>
    </r>
    <r>
      <rPr>
        <sz val="10"/>
        <rFont val="Calibri"/>
        <charset val="134"/>
      </rPr>
      <t xml:space="preserve"> 13%</t>
    </r>
  </si>
  <si>
    <t>CAD 1.95</t>
  </si>
  <si>
    <t>CAD 16.95</t>
  </si>
  <si>
    <t>US ELOGISTICS SERVICE CORP
1100 CRANBURY SOUTH RIVER RD
MONROE, NJ 08831</t>
  </si>
  <si>
    <t>Invoice</t>
  </si>
  <si>
    <t>Date</t>
  </si>
  <si>
    <t>Invoice #</t>
  </si>
  <si>
    <t>开票日期（日期按月日年）
来源系统：ITS（关联方客户） 默认账期最后一天
来源系统：FPS(外部客户） 默认审核日期当天</t>
  </si>
  <si>
    <t>12/31/2012</t>
  </si>
  <si>
    <t>ELUS20260101B0001</t>
  </si>
  <si>
    <t xml:space="preserve">Invoice </t>
  </si>
  <si>
    <t>发票号：公司简称+国家代码+年+月+日+B+序号(4位）</t>
  </si>
  <si>
    <t xml:space="preserve">     Bill  To</t>
  </si>
  <si>
    <t>客户名称
客户地址</t>
  </si>
  <si>
    <t>购买方名称
购买方地址</t>
  </si>
  <si>
    <t>Terms</t>
  </si>
  <si>
    <t>Due Date</t>
  </si>
  <si>
    <t>付款周期</t>
  </si>
  <si>
    <t>Net 14</t>
  </si>
  <si>
    <t>01/14/2013</t>
  </si>
  <si>
    <t>最迟付款日：Date+付款周期（日期按月日年）</t>
  </si>
  <si>
    <t>Qty</t>
  </si>
  <si>
    <t>Rate</t>
  </si>
  <si>
    <t>Inbound Fees for 03/08/2023-03/14/2023
Storage Fees for 03/08/2023-03/14/2023
Order Fees for 03/08/2023-03/14/2023
Return Fees for 03/08/2023-03/14/2023
VAS and IVAS for 03/08/2023-03/14/2023
Other Fees for 03/08/2023-03/14/2023</t>
  </si>
  <si>
    <t xml:space="preserve">1
1
1
1
1
</t>
  </si>
  <si>
    <t xml:space="preserve">0.00
0.00
0.00
0.00
0.00
0.00
</t>
  </si>
  <si>
    <t>0.00
0.00
0.00
0.00
0.00
0.00</t>
  </si>
  <si>
    <t>Description：开票品名+for+账期（mm/dd/yyyy-mm/dd/yyyy)
Qty默认1
Rate=Amount</t>
  </si>
  <si>
    <t>Please remit payment in full within 14 days. Thank you for your business！</t>
  </si>
  <si>
    <t>文本内容</t>
  </si>
  <si>
    <t>其中XX days需要根据Terms(付款周期)赋值</t>
  </si>
  <si>
    <t>发票备注内容</t>
  </si>
  <si>
    <t>无则为空，有则添加【发票备注】赋值</t>
  </si>
  <si>
    <r>
      <rPr>
        <b/>
        <sz val="7"/>
        <rFont val="微软雅黑"/>
        <charset val="134"/>
      </rPr>
      <t xml:space="preserve">Beneficiary Name: (required)：Us Elogistics Service Corp
Beneficiary Account Number: (required)：8003139485
Bank Routing Number: (domestic wires)：3 | 2 | 2 | 0 | 7 | 0 | 3 | 8 | 1
Bank Routing/ Swift Code: (international wires)：EWBKUS66XXX
Receiving Bank Name：East West Bank
Receiving Bank Address: </t>
    </r>
    <r>
      <rPr>
        <b/>
        <sz val="7"/>
        <color rgb="FFF54A45"/>
        <rFont val="微软雅黑"/>
        <charset val="134"/>
      </rPr>
      <t>135 N.Los Robles Ave..6TH FL. Pasadena,CA 91101</t>
    </r>
  </si>
  <si>
    <t>开票主体
收款信息</t>
  </si>
  <si>
    <r>
      <rPr>
        <sz val="10"/>
        <color rgb="FF245BDB"/>
        <rFont val="微软雅黑"/>
        <charset val="134"/>
      </rPr>
      <t xml:space="preserve">Beneficiary Name: (required)：FSSC【销方收款信息】账户名称
Beneficiary Account Number: (required)：FSSC【销方收款信息】账户号
</t>
    </r>
    <r>
      <rPr>
        <sz val="10"/>
        <color rgb="FFF54A45"/>
        <rFont val="微软雅黑"/>
        <charset val="134"/>
      </rPr>
      <t xml:space="preserve">Bank Routing Number: (domestic wires)：TRM特殊字段维护提供
</t>
    </r>
    <r>
      <rPr>
        <sz val="10"/>
        <color rgb="FF245BDB"/>
        <rFont val="微软雅黑"/>
        <charset val="134"/>
      </rPr>
      <t xml:space="preserve">Bank Routing/ Swift Code: (international wires)：FSSC【销方收款信息】银行联行码
Receiving Bank Name：FSSC【销方收款信息】银行名称
</t>
    </r>
    <r>
      <rPr>
        <sz val="10"/>
        <color rgb="FFF54A45"/>
        <rFont val="微软雅黑"/>
        <charset val="134"/>
      </rPr>
      <t>Receiving Bank Address: FSSC【销方收款信息】银行地址</t>
    </r>
  </si>
  <si>
    <t>credit note #</t>
  </si>
  <si>
    <t>ELUS20251015B0001</t>
  </si>
  <si>
    <t>credit note</t>
  </si>
  <si>
    <t>credit note号：公司简称+国家代码+年+月+日+ B+序号</t>
  </si>
  <si>
    <t>Claim and Refund for 03/08/2023-03/14/2023</t>
  </si>
  <si>
    <t>0.00</t>
  </si>
  <si>
    <t>ELOGISTICS (GA) SERVICE CORP
240 THE BLUFFS AUSTELL, GA 30168</t>
  </si>
  <si>
    <t>GAUS20260101B0001</t>
  </si>
  <si>
    <t>发票号：公司简称+国家代码+年+月+日+B+序号</t>
  </si>
  <si>
    <t>Description：开票品名+for+账期
Qty默认1
Rate=Amount</t>
  </si>
  <si>
    <r>
      <rPr>
        <b/>
        <sz val="7"/>
        <rFont val="微软雅黑"/>
        <charset val="134"/>
      </rPr>
      <t xml:space="preserve">Beneficiary Name: (required)：ELogistics (GA) Service Corp.
Beneficiary Account Number: (required)：8003135707
Bank Routing Number: (domestic wires)：3 | 2 | 2 | 0 | 7 | 0 | 3 | 8 | 1
Bank Routing/ Swift Code: (international wires)：EWBKUS66XXX
Receiving Bank Name：East West Bank
Receiving Bank Address: </t>
    </r>
    <r>
      <rPr>
        <b/>
        <sz val="7"/>
        <color rgb="FFF54A45"/>
        <rFont val="微软雅黑"/>
        <charset val="134"/>
      </rPr>
      <t>135 N.Los Robles Ave..6TH FL. Pasadena,CA 91101</t>
    </r>
  </si>
  <si>
    <t>GAUS20251015B0001</t>
  </si>
  <si>
    <t>発行日</t>
  </si>
  <si>
    <t>开票日期：按yyyy年mm月dd日（发票审核日期）</t>
  </si>
  <si>
    <t>発行番号</t>
  </si>
  <si>
    <r>
      <rPr>
        <sz val="12"/>
        <color rgb="FFFF0000"/>
        <rFont val="ＭＳ Ｐゴシック"/>
        <charset val="134"/>
      </rPr>
      <t>NF2025</t>
    </r>
    <r>
      <rPr>
        <sz val="12"/>
        <color rgb="FFFF0000"/>
        <rFont val="MS PGothic"/>
        <charset val="134"/>
      </rPr>
      <t>-092504</t>
    </r>
  </si>
  <si>
    <t>发票号码：NF&amp;yyyy&amp;"-"&amp;mm&amp;dd&amp;序号</t>
  </si>
  <si>
    <t>登録番号</t>
  </si>
  <si>
    <t>T3010001214611</t>
  </si>
  <si>
    <t>日発　株式会社</t>
  </si>
  <si>
    <t>〒101-0051</t>
  </si>
  <si>
    <t>住所：東京都墨田区横川一丁目9番3号</t>
  </si>
  <si>
    <t>Hasselblad Japan K.K.</t>
  </si>
  <si>
    <t>下記の通り、ご請求申し上げます。</t>
  </si>
  <si>
    <r>
      <rPr>
        <b/>
        <sz val="11"/>
        <color rgb="FF000000"/>
        <rFont val="Microsoft YaHei"/>
        <charset val="134"/>
      </rPr>
      <t xml:space="preserve">   </t>
    </r>
    <r>
      <rPr>
        <b/>
        <sz val="11"/>
        <color rgb="FF000000"/>
        <rFont val="ＭＳ Ｐゴシック"/>
        <charset val="134"/>
      </rPr>
      <t>お振込み期日：</t>
    </r>
  </si>
  <si>
    <t>单元格F4</t>
  </si>
  <si>
    <t>ご請求金額 ：</t>
  </si>
  <si>
    <t>单元格F38</t>
  </si>
  <si>
    <t>NO.</t>
  </si>
  <si>
    <t>業務内容</t>
  </si>
  <si>
    <t>期間</t>
  </si>
  <si>
    <t>数量</t>
  </si>
  <si>
    <t>単価</t>
  </si>
  <si>
    <t>金額</t>
  </si>
  <si>
    <t>運賃</t>
  </si>
  <si>
    <t>2025/08/01-2025/08/31</t>
  </si>
  <si>
    <t>業務内容：开票品名
期間：账期
数量：默认为1
単価=金額</t>
  </si>
  <si>
    <r>
      <rPr>
        <sz val="11"/>
        <color rgb="FFFF0000"/>
        <rFont val="ＭＳ Ｐゴシック"/>
        <charset val="134"/>
      </rPr>
      <t>可添加</t>
    </r>
    <r>
      <rPr>
        <sz val="11"/>
        <color rgb="FFFF0000"/>
        <rFont val="宋体"/>
        <charset val="134"/>
      </rPr>
      <t>发</t>
    </r>
    <r>
      <rPr>
        <sz val="11"/>
        <color rgb="FFFF0000"/>
        <rFont val="ＭＳ Ｐゴシック"/>
        <charset val="134"/>
      </rPr>
      <t>票</t>
    </r>
    <r>
      <rPr>
        <sz val="11"/>
        <color rgb="FFFF0000"/>
        <rFont val="宋体"/>
        <charset val="134"/>
      </rPr>
      <t>备</t>
    </r>
    <r>
      <rPr>
        <sz val="11"/>
        <color rgb="FFFF0000"/>
        <rFont val="ＭＳ Ｐゴシック"/>
        <charset val="134"/>
      </rPr>
      <t>注</t>
    </r>
  </si>
  <si>
    <t>小計</t>
  </si>
  <si>
    <t>消費税</t>
  </si>
  <si>
    <t>合計（税込み）</t>
  </si>
  <si>
    <t>お振込先</t>
  </si>
  <si>
    <t>[振込先] シティバンク、エヌ・エイ 東京支店</t>
  </si>
  <si>
    <t>按模板内容固化配置收款银行信息</t>
  </si>
  <si>
    <t>当座預金 9904695 NICHIHATU KABUSIKIGAISYA</t>
  </si>
  <si>
    <t>*恐れ入りますが、お振込み手数料はご負担願います。</t>
  </si>
  <si>
    <t>TAX INVOICE</t>
  </si>
  <si>
    <t>Everfast Pty Ltd</t>
  </si>
  <si>
    <t>Invoice Date：格式（ 日-月-年）
来源系统为FPS，开票日期为发票审核日期   
来源系统为ITS，开票日期为账单周期最后一天</t>
  </si>
  <si>
    <t>42-62 POUND ROAD W，
DANDENONG SOUTH VIC 3175</t>
  </si>
  <si>
    <t>客户名称：购买方名称</t>
  </si>
  <si>
    <t>Invoice Number</t>
  </si>
  <si>
    <t>Invoice Number：发票号码 EPAUS+yyyy+mm+B+序号(3位）</t>
  </si>
  <si>
    <t>客户地址：购买方地址</t>
  </si>
  <si>
    <t>EPAUS202605B019</t>
  </si>
  <si>
    <t>Reference</t>
  </si>
  <si>
    <t>ABN</t>
  </si>
  <si>
    <t>75 623 285 825</t>
  </si>
  <si>
    <t>ABN：默认</t>
  </si>
  <si>
    <t>Quantity</t>
  </si>
  <si>
    <t>Unit Price</t>
  </si>
  <si>
    <t>GST</t>
  </si>
  <si>
    <t>Amount AUD</t>
  </si>
  <si>
    <t>Description：开票品名-dd/mm/yyyy-dd/mm/yyyy（账期）
Quantity：默认为1
Unit Price=Amount AUD
GST：10%</t>
  </si>
  <si>
    <t>Warehouse Storage Service Fees--01/02/2026-28/02/2026</t>
  </si>
  <si>
    <t>Handling Fees-01/02/2026-28/02/2026</t>
  </si>
  <si>
    <t>Subtotal</t>
  </si>
  <si>
    <t>TOTAL  GST  10%</t>
  </si>
  <si>
    <t>TOTAL AUD</t>
  </si>
  <si>
    <t>Due Date:</t>
  </si>
  <si>
    <t>根据客户账期变动</t>
  </si>
  <si>
    <t>Bank Name: Citibank</t>
  </si>
  <si>
    <t>TRM特殊字段提供【开户银行】</t>
  </si>
  <si>
    <t>Account Name: Everfast Pty Ltd</t>
  </si>
  <si>
    <t>根据销方收款信息【账户名称】赋值</t>
  </si>
  <si>
    <t>BSB: 242-000</t>
  </si>
  <si>
    <t>TRM特殊字段提供【BSB】</t>
  </si>
  <si>
    <t>Account No: 236077004</t>
  </si>
  <si>
    <t>根据销方收款信息【账户号】赋值</t>
  </si>
  <si>
    <t/>
  </si>
  <si>
    <t>PAYMENT ADVICE</t>
  </si>
  <si>
    <t>Customer</t>
  </si>
  <si>
    <t>To:</t>
  </si>
  <si>
    <t>Amount Due</t>
  </si>
  <si>
    <t>Amount Enclosed</t>
  </si>
  <si>
    <t>香港雲頌國際貨運有限公司
HONGKONG YUNFREIGHT LIMITED
香港湾仔骆克道300号浙江兴业大厦（ZJ 300）12楼A室‌
FLAT/RM A 12/F ZJ 300,300 LOCKHART RD WAN CHAI HONG KONG</t>
  </si>
  <si>
    <t>销售方名称（中文）
销售方名称（英文）
销售方地址（中文）
销售方地址（英文）</t>
  </si>
  <si>
    <r>
      <rPr>
        <b/>
        <sz val="10"/>
        <rFont val="微软雅黑"/>
        <charset val="134"/>
      </rPr>
      <t>To：</t>
    </r>
    <r>
      <rPr>
        <b/>
        <sz val="10"/>
        <color rgb="FFF54A45"/>
        <rFont val="微软雅黑"/>
        <charset val="134"/>
      </rPr>
      <t>购买方名称</t>
    </r>
  </si>
  <si>
    <t xml:space="preserve"> Date: </t>
  </si>
  <si>
    <t>开票日期：审核日期，按yyyy-mm-dd</t>
  </si>
  <si>
    <r>
      <rPr>
        <b/>
        <sz val="10"/>
        <rFont val="微软雅黑"/>
        <charset val="134"/>
      </rPr>
      <t>Address：</t>
    </r>
    <r>
      <rPr>
        <b/>
        <sz val="10"/>
        <color rgb="FFF54A45"/>
        <rFont val="微软雅黑"/>
        <charset val="134"/>
      </rPr>
      <t>购买方地址</t>
    </r>
  </si>
  <si>
    <t>Invoice No.</t>
  </si>
  <si>
    <t>YSHK202605F0001</t>
  </si>
  <si>
    <t>发票号：YSHK+yyyy+mm+F+（序号）</t>
  </si>
  <si>
    <t xml:space="preserve"> 商品/服务描述
 Description</t>
  </si>
  <si>
    <t xml:space="preserve"> 期间
 Period</t>
  </si>
  <si>
    <t xml:space="preserve"> 金额（USD）
 Amount(USD）</t>
  </si>
  <si>
    <t>商品/服务描述：根据【开票品名】赋值
 期间：根据【账期】赋值
金额（USD）：根据【*金额（含税）】赋值</t>
  </si>
  <si>
    <t>International Freight Forwarding Service</t>
  </si>
  <si>
    <t>2026-03-01至2026-03-31</t>
  </si>
  <si>
    <t xml:space="preserve"> 合计（USD)：
 Total（USD)</t>
  </si>
  <si>
    <t>请支付到以下账户（Please Pay To The Following Account）</t>
  </si>
  <si>
    <t xml:space="preserve"> 收款人名称：
 (Name Of Beneficiary)</t>
  </si>
  <si>
    <t>香港雲頌國際貨運有限公司
(HONGKONG YUNFREIGHT LIMITED)</t>
  </si>
  <si>
    <t>销售方名称（中文）
销售方名称（英文）</t>
  </si>
  <si>
    <t xml:space="preserve"> 银行名称
 (Bank Name)</t>
  </si>
  <si>
    <t>香港上海滙豐銀行
（HSBC HongKong）</t>
  </si>
  <si>
    <t xml:space="preserve">销方收款信息【银行名称】（中文）-需额外维护
销方收款信息【银行名称】（英文）
</t>
  </si>
  <si>
    <t xml:space="preserve"> 账户名称
 Account Name</t>
  </si>
  <si>
    <t>销方收款信息【账户名称】（中文）-需额外维护
销方收款信息【账户名称】（英文）</t>
  </si>
  <si>
    <t xml:space="preserve"> 账户号
 (Account Number)</t>
  </si>
  <si>
    <t xml:space="preserve"> 银行代码
 (Bank code)</t>
  </si>
  <si>
    <t>HSC</t>
  </si>
  <si>
    <t>根据销方收款信息【银行代码】赋值</t>
  </si>
  <si>
    <t xml:space="preserve"> 银行联行码
 (Bank Swift Code)</t>
  </si>
  <si>
    <t>HSBCHKHHHKH</t>
  </si>
  <si>
    <t>根据销方收款信息【银行联行码】赋值</t>
  </si>
  <si>
    <t xml:space="preserve"> 银行地址
 (Bank Address)</t>
  </si>
  <si>
    <t>香港中环皇后大道中1号总部
（Head Office 1 Queen's Road Central HongKong）</t>
  </si>
  <si>
    <t>销方收款信息【银行地址】（中文）-需额外维护
销方收款信息【银行地址】（英文）</t>
  </si>
  <si>
    <t xml:space="preserve"> 发票备注：
 (Comment)                                          </t>
  </si>
  <si>
    <t>根据单据基本信息【发票备注】赋值</t>
  </si>
  <si>
    <t>深圳市云颂国际货运代理有限公司
ShenZhen YunSong International Freight Forwarding Co. LTD
前湾一路285号创维海外发展大厦1栋402
Room 402, Building 1, Skyworth Overseas Development Building, No. 285 Qianwan 1st Road</t>
  </si>
  <si>
    <t>YSSZ202605F0001</t>
  </si>
  <si>
    <t>发票号：YSSZ+yyyy+mm+F+（序号）</t>
  </si>
  <si>
    <t>深圳市云颂国际货运代理有限公司
(ShenZhen YunSong International Freight Forwarding Co. LTD)</t>
  </si>
  <si>
    <t>兴业银行股份有限公司深圳天安支行
（Industrial Bank Co., LTD. Shenzhen Tianan branch）</t>
  </si>
  <si>
    <t>337111400100040694</t>
  </si>
  <si>
    <t>CIB</t>
  </si>
  <si>
    <t>FJIBCNBA630</t>
  </si>
  <si>
    <t>福田区车公庙天安数码城创新科技广场一期A座兴业银行
（Industrial Bank, Block A, Phase I, Innovation and Technology Plaza, Chekung Temple, Tian 'an Digital City, Futian District）</t>
  </si>
</sst>
</file>

<file path=xl/styles.xml><?xml version="1.0" encoding="utf-8"?>
<styleSheet xmlns="http://schemas.openxmlformats.org/spreadsheetml/2006/main" xmlns:xr9="http://schemas.microsoft.com/office/spreadsheetml/2016/revision9">
  <numFmts count="18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  <numFmt numFmtId="178" formatCode="0_ "/>
    <numFmt numFmtId="179" formatCode="&quot;US$&quot;#,##0.00_);[Red]\(&quot;US$&quot;#,##0.00\)"/>
    <numFmt numFmtId="180" formatCode="yyyy\-mm\-dd"/>
    <numFmt numFmtId="181" formatCode="#,##0.00_ "/>
    <numFmt numFmtId="182" formatCode="\$#,##0.00;[Red]\$#,##0.00"/>
    <numFmt numFmtId="183" formatCode="#,##0_);[Red]\(#,##0\)"/>
    <numFmt numFmtId="184" formatCode="#,##0_ "/>
    <numFmt numFmtId="185" formatCode="_-\$* #,##0.00_ ;_-\$* \-#,##0.00\ ;_-\$* &quot;-&quot;??_ ;_-@_ "/>
    <numFmt numFmtId="186" formatCode="[$$-1009]#,##0.00"/>
    <numFmt numFmtId="187" formatCode="0.00_);\(0.00\)"/>
    <numFmt numFmtId="188" formatCode="mm/dd/yyyy"/>
  </numFmts>
  <fonts count="120">
    <font>
      <sz val="10"/>
      <color theme="1"/>
      <name val="等线"/>
      <charset val="134"/>
      <scheme val="minor"/>
    </font>
    <font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b/>
      <sz val="12"/>
      <color rgb="FF000000"/>
      <name val="微软雅黑"/>
      <charset val="134"/>
    </font>
    <font>
      <sz val="12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微软雅黑"/>
      <charset val="134"/>
    </font>
    <font>
      <sz val="18"/>
      <color rgb="FF000000"/>
      <name val="微软雅黑"/>
      <charset val="134"/>
    </font>
    <font>
      <b/>
      <sz val="10"/>
      <color rgb="FFFF0000"/>
      <name val="微软雅黑"/>
      <charset val="134"/>
    </font>
    <font>
      <sz val="11"/>
      <color rgb="FFFF0000"/>
      <name val="微软雅黑"/>
      <charset val="134"/>
    </font>
    <font>
      <sz val="12"/>
      <color rgb="FFFF0000"/>
      <name val="微软雅黑"/>
      <charset val="134"/>
    </font>
    <font>
      <sz val="9"/>
      <color rgb="FF000000"/>
      <name val="微软雅黑"/>
      <charset val="134"/>
    </font>
    <font>
      <sz val="28"/>
      <color rgb="FF000000"/>
      <name val="微软雅黑"/>
      <charset val="134"/>
    </font>
    <font>
      <sz val="24"/>
      <color rgb="FF000000"/>
      <name val="微软雅黑"/>
      <charset val="134"/>
    </font>
    <font>
      <b/>
      <sz val="9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2"/>
      <color rgb="FFF54A45"/>
      <name val="微软雅黑"/>
      <charset val="134"/>
    </font>
    <font>
      <sz val="12"/>
      <color rgb="FF245BDB"/>
      <name val="等线"/>
      <charset val="134"/>
      <scheme val="minor"/>
    </font>
    <font>
      <sz val="12"/>
      <color rgb="FFF54A45"/>
      <name val="等线"/>
      <charset val="134"/>
      <scheme val="minor"/>
    </font>
    <font>
      <b/>
      <sz val="10"/>
      <color rgb="FFFF0000"/>
      <name val="Calibri"/>
      <charset val="134"/>
    </font>
    <font>
      <sz val="11"/>
      <color rgb="FF000000"/>
      <name val="ＭＳ Ｐゴシック"/>
      <charset val="134"/>
    </font>
    <font>
      <b/>
      <sz val="20"/>
      <color rgb="FFFF0000"/>
      <name val="ＭＳ Ｐゴシック"/>
      <charset val="134"/>
    </font>
    <font>
      <b/>
      <sz val="24"/>
      <color rgb="FF000000"/>
      <name val="ＭＳ Ｐゴシック"/>
      <charset val="134"/>
    </font>
    <font>
      <b/>
      <sz val="11"/>
      <color rgb="FF000000"/>
      <name val="ＭＳ Ｐゴシック"/>
      <charset val="134"/>
    </font>
    <font>
      <b/>
      <sz val="14"/>
      <color rgb="FFFFFFFF"/>
      <name val="ＭＳ Ｐゴシック"/>
      <charset val="134"/>
    </font>
    <font>
      <sz val="20"/>
      <color rgb="FF000000"/>
      <name val="ＭＳ Ｐゴシック"/>
      <charset val="134"/>
    </font>
    <font>
      <b/>
      <sz val="11"/>
      <color rgb="FFFFFFFF"/>
      <name val="ＭＳ Ｐゴシック"/>
      <charset val="134"/>
    </font>
    <font>
      <sz val="11"/>
      <color rgb="FFFF0000"/>
      <name val="ＭＳ Ｐゴシック"/>
      <charset val="134"/>
    </font>
    <font>
      <sz val="11"/>
      <color rgb="FF000000"/>
      <name val="Microsoft YaHei"/>
      <charset val="134"/>
    </font>
    <font>
      <b/>
      <sz val="12"/>
      <color rgb="FF000000"/>
      <name val="MS UI Gothic"/>
      <charset val="134"/>
    </font>
    <font>
      <b/>
      <sz val="12"/>
      <color rgb="FF000000"/>
      <name val="ＭＳ Ｐゴシック"/>
      <charset val="134"/>
    </font>
    <font>
      <sz val="12"/>
      <color rgb="FF000000"/>
      <name val="ＭＳ Ｐゴシック"/>
      <charset val="134"/>
    </font>
    <font>
      <sz val="12"/>
      <color rgb="FFFF0000"/>
      <name val="ＭＳ Ｐゴシック"/>
      <charset val="134"/>
    </font>
    <font>
      <sz val="12"/>
      <color rgb="FF245BDB"/>
      <name val="微软雅黑"/>
      <charset val="134"/>
    </font>
    <font>
      <b/>
      <sz val="9"/>
      <color rgb="FF000000"/>
      <name val="Microsoft YaHei"/>
      <charset val="134"/>
    </font>
    <font>
      <b/>
      <sz val="20"/>
      <color rgb="FF000000"/>
      <name val="微软雅黑"/>
      <charset val="134"/>
    </font>
    <font>
      <b/>
      <sz val="8"/>
      <color rgb="FF000000"/>
      <name val="微软雅黑"/>
      <charset val="134"/>
    </font>
    <font>
      <sz val="8"/>
      <color rgb="FF000000"/>
      <name val="微软雅黑"/>
      <charset val="134"/>
    </font>
    <font>
      <sz val="11"/>
      <color rgb="FF000000"/>
      <name val="宋体"/>
      <charset val="134"/>
    </font>
    <font>
      <b/>
      <sz val="7"/>
      <color rgb="FFFF0000"/>
      <name val="微软雅黑"/>
      <charset val="134"/>
    </font>
    <font>
      <b/>
      <sz val="7"/>
      <color rgb="FF000000"/>
      <name val="微软雅黑"/>
      <charset val="134"/>
    </font>
    <font>
      <sz val="10"/>
      <color rgb="FFF54A45"/>
      <name val="等线"/>
      <charset val="134"/>
      <scheme val="minor"/>
    </font>
    <font>
      <sz val="10"/>
      <color rgb="FF245BDB"/>
      <name val="微软雅黑"/>
      <charset val="134"/>
    </font>
    <font>
      <sz val="11"/>
      <color rgb="FF000000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8"/>
      <color rgb="FF000000"/>
      <name val="Microsoft YaHei"/>
      <charset val="134"/>
    </font>
    <font>
      <b/>
      <sz val="11"/>
      <color rgb="FF000000"/>
      <name val="Arial"/>
      <charset val="134"/>
    </font>
    <font>
      <b/>
      <sz val="8"/>
      <color rgb="FFFF0000"/>
      <name val="Microsoft YaHei"/>
      <charset val="134"/>
    </font>
    <font>
      <sz val="8"/>
      <color rgb="FFFF0000"/>
      <name val="Microsoft YaHei"/>
      <charset val="134"/>
    </font>
    <font>
      <b/>
      <sz val="7"/>
      <color rgb="FF000000"/>
      <name val="Microsoft YaHei"/>
      <charset val="134"/>
    </font>
    <font>
      <b/>
      <sz val="7"/>
      <color rgb="FFFF0000"/>
      <name val="Microsoft YaHei"/>
      <charset val="134"/>
    </font>
    <font>
      <b/>
      <sz val="20"/>
      <color rgb="FF000000"/>
      <name val="Times New Roman"/>
      <charset val="134"/>
    </font>
    <font>
      <b/>
      <sz val="11"/>
      <color rgb="FFFF0000"/>
      <name val="Arial"/>
      <charset val="134"/>
    </font>
    <font>
      <sz val="12"/>
      <color rgb="FFFF0000"/>
      <name val="Arial"/>
      <charset val="134"/>
    </font>
    <font>
      <sz val="8"/>
      <color rgb="FF000000"/>
      <name val="Microsoft YaHei"/>
      <charset val="134"/>
    </font>
    <font>
      <b/>
      <sz val="11"/>
      <color rgb="FFFF0000"/>
      <name val="宋体"/>
      <charset val="134"/>
    </font>
    <font>
      <b/>
      <sz val="8"/>
      <color rgb="FFFF0000"/>
      <name val="微软雅黑"/>
      <charset val="134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宋体"/>
      <charset val="134"/>
    </font>
    <font>
      <b/>
      <sz val="10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0"/>
      <color rgb="FFFF0000"/>
      <name val="宋体"/>
      <charset val="134"/>
    </font>
    <font>
      <b/>
      <sz val="10"/>
      <color rgb="FF000000"/>
      <name val="等线"/>
      <charset val="134"/>
      <scheme val="minor"/>
    </font>
    <font>
      <sz val="10"/>
      <color rgb="FFFF0000"/>
      <name val="Calibri"/>
      <charset val="134"/>
    </font>
    <font>
      <b/>
      <sz val="9"/>
      <color rgb="FFFF0000"/>
      <name val="微软雅黑"/>
      <charset val="134"/>
    </font>
    <font>
      <sz val="9"/>
      <color rgb="FF245BDB"/>
      <name val="微软雅黑"/>
      <charset val="134"/>
    </font>
    <font>
      <sz val="15"/>
      <color rgb="FF000000"/>
      <name val="Calibri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0"/>
      <name val="Calibri"/>
      <charset val="134"/>
    </font>
    <font>
      <sz val="10"/>
      <color rgb="FFFF0000"/>
      <name val="宋体-简"/>
      <charset val="134"/>
    </font>
    <font>
      <sz val="14"/>
      <color rgb="FF000000"/>
      <name val="Calibri"/>
      <charset val="134"/>
    </font>
    <font>
      <sz val="12"/>
      <color rgb="FFF54A45"/>
      <name val="Calibri"/>
      <charset val="134"/>
    </font>
    <font>
      <sz val="9"/>
      <color rgb="FFF54A45"/>
      <name val="微软雅黑"/>
      <charset val="134"/>
    </font>
    <font>
      <sz val="10"/>
      <color rgb="FFF54A45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name val="微软雅黑"/>
      <charset val="134"/>
    </font>
    <font>
      <b/>
      <sz val="10"/>
      <color rgb="FFF54A45"/>
      <name val="微软雅黑"/>
      <charset val="134"/>
    </font>
    <font>
      <sz val="12"/>
      <color rgb="FFFF0000"/>
      <name val="ＭＳ Ｐゴシック"/>
      <charset val="134"/>
    </font>
    <font>
      <sz val="12"/>
      <color rgb="FFFF0000"/>
      <name val="MS PGothic"/>
      <charset val="134"/>
    </font>
    <font>
      <b/>
      <sz val="11"/>
      <color rgb="FF000000"/>
      <name val="Microsoft YaHei"/>
      <charset val="134"/>
    </font>
    <font>
      <b/>
      <sz val="11"/>
      <color rgb="FF000000"/>
      <name val="ＭＳ Ｐゴシック"/>
      <charset val="134"/>
    </font>
    <font>
      <sz val="11"/>
      <color rgb="FFFF0000"/>
      <name val="ＭＳ Ｐゴシック"/>
      <charset val="134"/>
    </font>
    <font>
      <sz val="11"/>
      <color rgb="FFFF0000"/>
      <name val="宋体"/>
      <charset val="134"/>
    </font>
    <font>
      <b/>
      <sz val="7"/>
      <name val="微软雅黑"/>
      <charset val="134"/>
    </font>
    <font>
      <b/>
      <sz val="7"/>
      <color rgb="FFF54A45"/>
      <name val="微软雅黑"/>
      <charset val="134"/>
    </font>
    <font>
      <sz val="10"/>
      <color rgb="FF245BDB"/>
      <name val="微软雅黑"/>
      <charset val="134"/>
    </font>
    <font>
      <sz val="10"/>
      <color rgb="FFF54A45"/>
      <name val="微软雅黑"/>
      <charset val="134"/>
    </font>
    <font>
      <sz val="10"/>
      <color rgb="FFF54A45"/>
      <name val="Calibri"/>
      <charset val="134"/>
    </font>
    <font>
      <sz val="10"/>
      <name val="Calibri"/>
      <charset val="134"/>
    </font>
    <font>
      <b/>
      <sz val="10"/>
      <color rgb="FFFF0000"/>
      <name val="宋体-简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B58B01"/>
        <bgColor indexed="64"/>
      </patternFill>
    </fill>
    <fill>
      <patternFill patternType="solid">
        <fgColor rgb="FFB68C0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608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/>
      <diagonal/>
    </border>
    <border>
      <left/>
      <right style="medium">
        <color rgb="FF1F2329"/>
      </right>
      <top style="thin">
        <color rgb="FF000000"/>
      </top>
      <bottom/>
      <diagonal/>
    </border>
    <border>
      <left/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/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/>
      <right style="medium">
        <color rgb="FF1F2329"/>
      </right>
      <top/>
      <bottom/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17365D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2" fillId="0" borderId="0" applyFont="0" applyFill="0" applyBorder="0" applyAlignment="0" applyProtection="0">
      <alignment vertical="center"/>
    </xf>
    <xf numFmtId="44" fontId="82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41" fontId="42" fillId="0" borderId="0">
      <alignment vertical="center"/>
    </xf>
    <xf numFmtId="42" fontId="82" fillId="0" borderId="0" applyFon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2" fillId="10" borderId="51" applyNumberFormat="0" applyFon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52" applyNumberFormat="0" applyFill="0" applyAlignment="0" applyProtection="0">
      <alignment vertical="center"/>
    </xf>
    <xf numFmtId="0" fontId="89" fillId="0" borderId="52" applyNumberFormat="0" applyFill="0" applyAlignment="0" applyProtection="0">
      <alignment vertical="center"/>
    </xf>
    <xf numFmtId="0" fontId="90" fillId="0" borderId="53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11" borderId="54" applyNumberFormat="0" applyAlignment="0" applyProtection="0">
      <alignment vertical="center"/>
    </xf>
    <xf numFmtId="0" fontId="92" fillId="12" borderId="55" applyNumberFormat="0" applyAlignment="0" applyProtection="0">
      <alignment vertical="center"/>
    </xf>
    <xf numFmtId="0" fontId="93" fillId="12" borderId="54" applyNumberFormat="0" applyAlignment="0" applyProtection="0">
      <alignment vertical="center"/>
    </xf>
    <xf numFmtId="0" fontId="94" fillId="13" borderId="56" applyNumberFormat="0" applyAlignment="0" applyProtection="0">
      <alignment vertical="center"/>
    </xf>
    <xf numFmtId="0" fontId="95" fillId="0" borderId="57" applyNumberFormat="0" applyFill="0" applyAlignment="0" applyProtection="0">
      <alignment vertical="center"/>
    </xf>
    <xf numFmtId="0" fontId="96" fillId="0" borderId="58" applyNumberFormat="0" applyFill="0" applyAlignment="0" applyProtection="0">
      <alignment vertical="center"/>
    </xf>
    <xf numFmtId="0" fontId="97" fillId="14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1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29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100" fillId="3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0" fillId="36" borderId="0" applyNumberFormat="0" applyBorder="0" applyAlignment="0" applyProtection="0">
      <alignment vertical="center"/>
    </xf>
    <xf numFmtId="0" fontId="100" fillId="37" borderId="0" applyNumberFormat="0" applyBorder="0" applyAlignment="0" applyProtection="0">
      <alignment vertical="center"/>
    </xf>
    <xf numFmtId="0" fontId="101" fillId="38" borderId="0" applyNumberFormat="0" applyBorder="0" applyAlignment="0" applyProtection="0">
      <alignment vertical="center"/>
    </xf>
    <xf numFmtId="0" fontId="101" fillId="39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</cellStyleXfs>
  <cellXfs count="33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/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/>
    <xf numFmtId="0" fontId="7" fillId="0" borderId="7" xfId="0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10" xfId="0" applyFont="1" applyBorder="1" applyAlignment="1"/>
    <xf numFmtId="0" fontId="4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/>
    <xf numFmtId="178" fontId="7" fillId="2" borderId="12" xfId="0" applyNumberFormat="1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49" fontId="7" fillId="0" borderId="12" xfId="0" applyNumberFormat="1" applyFont="1" applyBorder="1" applyAlignment="1">
      <alignment horizontal="left" vertical="center" wrapText="1"/>
    </xf>
    <xf numFmtId="178" fontId="8" fillId="2" borderId="12" xfId="0" applyNumberFormat="1" applyFont="1" applyFill="1" applyBorder="1" applyAlignment="1">
      <alignment horizontal="left" vertical="center" wrapText="1"/>
    </xf>
    <xf numFmtId="177" fontId="6" fillId="0" borderId="7" xfId="0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177" fontId="6" fillId="0" borderId="0" xfId="0" applyNumberFormat="1" applyFont="1" applyAlignment="1">
      <alignment vertical="top" wrapText="1"/>
    </xf>
    <xf numFmtId="177" fontId="6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vertical="top" wrapText="1"/>
    </xf>
    <xf numFmtId="177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15" xfId="0" applyFont="1" applyBorder="1" applyAlignme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80" fontId="10" fillId="0" borderId="16" xfId="0" applyNumberFormat="1" applyFont="1" applyBorder="1" applyAlignment="1">
      <alignment horizontal="left" vertical="center" wrapText="1"/>
    </xf>
    <xf numFmtId="180" fontId="2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0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81" fontId="6" fillId="0" borderId="19" xfId="0" applyNumberFormat="1" applyFont="1" applyBorder="1" applyAlignment="1">
      <alignment horizontal="center" vertical="center" wrapText="1"/>
    </xf>
    <xf numFmtId="181" fontId="6" fillId="0" borderId="0" xfId="0" applyNumberFormat="1" applyFont="1" applyAlignment="1">
      <alignment horizontal="center" vertical="center" wrapText="1"/>
    </xf>
    <xf numFmtId="182" fontId="2" fillId="0" borderId="17" xfId="0" applyNumberFormat="1" applyFont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 wrapText="1"/>
    </xf>
    <xf numFmtId="0" fontId="5" fillId="0" borderId="20" xfId="0" applyFont="1" applyBorder="1" applyAlignment="1"/>
    <xf numFmtId="0" fontId="4" fillId="0" borderId="0" xfId="0" applyFont="1" applyAlignment="1">
      <alignment horizontal="center" vertical="center" wrapText="1"/>
    </xf>
    <xf numFmtId="0" fontId="5" fillId="2" borderId="17" xfId="0" applyFont="1" applyFill="1" applyBorder="1" applyAlignment="1"/>
    <xf numFmtId="0" fontId="6" fillId="0" borderId="0" xfId="0" applyFont="1" applyAlignment="1">
      <alignment horizontal="left" vertical="center" wrapText="1"/>
    </xf>
    <xf numFmtId="178" fontId="12" fillId="2" borderId="0" xfId="0" applyNumberFormat="1" applyFont="1" applyFill="1" applyAlignment="1">
      <alignment vertical="center" wrapText="1"/>
    </xf>
    <xf numFmtId="178" fontId="6" fillId="0" borderId="0" xfId="0" applyNumberFormat="1" applyFont="1" applyAlignment="1">
      <alignment horizontal="left" vertical="center" wrapText="1"/>
    </xf>
    <xf numFmtId="0" fontId="5" fillId="0" borderId="17" xfId="0" applyFont="1" applyBorder="1" applyAlignment="1"/>
    <xf numFmtId="178" fontId="11" fillId="0" borderId="0" xfId="0" applyNumberFormat="1" applyFont="1" applyAlignment="1">
      <alignment vertical="center" wrapText="1"/>
    </xf>
    <xf numFmtId="178" fontId="13" fillId="0" borderId="0" xfId="0" applyNumberFormat="1" applyFont="1" applyAlignment="1">
      <alignment horizontal="left" vertical="center" wrapText="1"/>
    </xf>
    <xf numFmtId="0" fontId="6" fillId="0" borderId="21" xfId="0" applyFont="1" applyBorder="1" applyAlignment="1">
      <alignment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7" fillId="2" borderId="8" xfId="0" applyFont="1" applyFill="1" applyBorder="1" applyAlignment="1">
      <alignment horizontal="left" vertical="center" wrapText="1"/>
    </xf>
    <xf numFmtId="178" fontId="7" fillId="2" borderId="8" xfId="0" applyNumberFormat="1" applyFont="1" applyFill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178" fontId="8" fillId="2" borderId="8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15" fontId="13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center" vertical="center" wrapText="1"/>
    </xf>
    <xf numFmtId="181" fontId="11" fillId="0" borderId="24" xfId="0" applyNumberFormat="1" applyFont="1" applyBorder="1" applyAlignment="1">
      <alignment horizontal="right" vertical="center" wrapText="1"/>
    </xf>
    <xf numFmtId="0" fontId="11" fillId="0" borderId="23" xfId="0" applyFont="1" applyBorder="1" applyAlignment="1">
      <alignment horizontal="center" vertical="center" wrapText="1"/>
    </xf>
    <xf numFmtId="181" fontId="11" fillId="0" borderId="23" xfId="0" applyNumberFormat="1" applyFont="1" applyBorder="1" applyAlignment="1">
      <alignment horizontal="righ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center" vertical="center" wrapText="1"/>
    </xf>
    <xf numFmtId="181" fontId="17" fillId="0" borderId="23" xfId="0" applyNumberFormat="1" applyFont="1" applyBorder="1" applyAlignment="1">
      <alignment horizontal="right" vertical="center" wrapText="1"/>
    </xf>
    <xf numFmtId="15" fontId="17" fillId="3" borderId="0" xfId="0" applyNumberFormat="1" applyFont="1" applyFill="1" applyAlignment="1">
      <alignment horizontal="left"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15" fontId="17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9" fontId="17" fillId="0" borderId="24" xfId="0" applyNumberFormat="1" applyFont="1" applyBorder="1" applyAlignment="1">
      <alignment horizontal="center" vertical="center" wrapText="1"/>
    </xf>
    <xf numFmtId="9" fontId="17" fillId="0" borderId="23" xfId="0" applyNumberFormat="1" applyFont="1" applyBorder="1" applyAlignment="1">
      <alignment horizontal="center" vertical="center" wrapText="1"/>
    </xf>
    <xf numFmtId="9" fontId="11" fillId="0" borderId="23" xfId="0" applyNumberFormat="1" applyFont="1" applyBorder="1" applyAlignment="1">
      <alignment horizontal="center" vertical="center" wrapText="1"/>
    </xf>
    <xf numFmtId="181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81" fontId="11" fillId="0" borderId="0" xfId="0" applyNumberFormat="1" applyFont="1" applyAlignment="1">
      <alignment horizontal="right" vertical="center"/>
    </xf>
    <xf numFmtId="0" fontId="18" fillId="0" borderId="25" xfId="0" applyFont="1" applyBorder="1" applyAlignment="1">
      <alignment horizontal="right" vertical="center"/>
    </xf>
    <xf numFmtId="181" fontId="19" fillId="0" borderId="25" xfId="0" applyNumberFormat="1" applyFont="1" applyBorder="1" applyAlignment="1">
      <alignment horizontal="right" vertical="center"/>
    </xf>
    <xf numFmtId="0" fontId="20" fillId="4" borderId="0" xfId="0" applyFont="1" applyFill="1" applyAlignment="1">
      <alignment horizontal="left" vertical="center"/>
    </xf>
    <xf numFmtId="0" fontId="21" fillId="4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18" fillId="0" borderId="0" xfId="0" applyFont="1" applyAlignment="1">
      <alignment horizontal="left" vertical="center" wrapText="1"/>
    </xf>
    <xf numFmtId="181" fontId="17" fillId="0" borderId="0" xfId="0" applyNumberFormat="1" applyFont="1" applyAlignment="1">
      <alignment horizontal="left" vertical="center" wrapText="1"/>
    </xf>
    <xf numFmtId="15" fontId="13" fillId="0" borderId="23" xfId="0" applyNumberFormat="1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31" fontId="27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5" borderId="26" xfId="0" applyFont="1" applyFill="1" applyBorder="1" applyAlignment="1">
      <alignment vertical="center"/>
    </xf>
    <xf numFmtId="6" fontId="29" fillId="0" borderId="27" xfId="0" applyNumberFormat="1" applyFont="1" applyBorder="1" applyAlignment="1">
      <alignment horizontal="center" vertical="center"/>
    </xf>
    <xf numFmtId="6" fontId="29" fillId="0" borderId="0" xfId="0" applyNumberFormat="1" applyFont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30" fillId="5" borderId="8" xfId="0" applyFont="1" applyFill="1" applyBorder="1" applyAlignment="1">
      <alignment vertical="center"/>
    </xf>
    <xf numFmtId="0" fontId="30" fillId="5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0" fontId="31" fillId="0" borderId="8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183" fontId="31" fillId="0" borderId="8" xfId="4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vertical="center"/>
    </xf>
    <xf numFmtId="183" fontId="24" fillId="0" borderId="8" xfId="4" applyNumberFormat="1" applyBorder="1" applyAlignment="1">
      <alignment horizontal="left" vertical="center"/>
    </xf>
    <xf numFmtId="0" fontId="32" fillId="0" borderId="8" xfId="0" applyFont="1" applyBorder="1" applyAlignment="1">
      <alignment horizontal="left" vertical="center"/>
    </xf>
    <xf numFmtId="183" fontId="24" fillId="0" borderId="8" xfId="4" applyNumberFormat="1" applyBorder="1">
      <alignment vertical="center"/>
    </xf>
    <xf numFmtId="0" fontId="32" fillId="0" borderId="8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1" fillId="0" borderId="5" xfId="0" applyFont="1" applyBorder="1" applyAlignment="1">
      <alignment horizontal="left" vertical="center"/>
    </xf>
    <xf numFmtId="0" fontId="31" fillId="0" borderId="29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31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49" fontId="33" fillId="0" borderId="5" xfId="0" applyNumberFormat="1" applyFont="1" applyBorder="1" applyAlignment="1">
      <alignment horizontal="center" vertical="center"/>
    </xf>
    <xf numFmtId="49" fontId="33" fillId="0" borderId="3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49" fontId="33" fillId="0" borderId="31" xfId="0" applyNumberFormat="1" applyFont="1" applyBorder="1" applyAlignment="1">
      <alignment horizontal="center" vertical="center"/>
    </xf>
    <xf numFmtId="49" fontId="33" fillId="0" borderId="33" xfId="0" applyNumberFormat="1" applyFont="1" applyBorder="1" applyAlignment="1">
      <alignment horizontal="center" vertical="center"/>
    </xf>
    <xf numFmtId="0" fontId="34" fillId="0" borderId="30" xfId="0" applyFont="1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35" fillId="0" borderId="0" xfId="0" applyFont="1" applyAlignment="1">
      <alignment vertical="center"/>
    </xf>
    <xf numFmtId="0" fontId="24" fillId="0" borderId="28" xfId="0" applyFont="1" applyBorder="1" applyAlignment="1">
      <alignment horizontal="left"/>
    </xf>
    <xf numFmtId="31" fontId="31" fillId="0" borderId="28" xfId="0" applyNumberFormat="1" applyFont="1" applyBorder="1" applyAlignment="1">
      <alignment vertical="center"/>
    </xf>
    <xf numFmtId="0" fontId="24" fillId="0" borderId="10" xfId="0" applyFont="1" applyBorder="1" applyAlignment="1">
      <alignment horizontal="left"/>
    </xf>
    <xf numFmtId="49" fontId="36" fillId="0" borderId="10" xfId="0" applyNumberFormat="1" applyFont="1" applyBorder="1" applyAlignment="1">
      <alignment horizontal="right"/>
    </xf>
    <xf numFmtId="0" fontId="24" fillId="0" borderId="28" xfId="0" applyFont="1" applyBorder="1" applyAlignment="1"/>
    <xf numFmtId="0" fontId="24" fillId="0" borderId="28" xfId="0" applyFont="1" applyBorder="1" applyAlignment="1">
      <alignment horizontal="right"/>
    </xf>
    <xf numFmtId="184" fontId="11" fillId="0" borderId="0" xfId="0" applyNumberFormat="1" applyFont="1" applyAlignment="1">
      <alignment vertical="center"/>
    </xf>
    <xf numFmtId="184" fontId="31" fillId="0" borderId="8" xfId="0" applyNumberFormat="1" applyFont="1" applyBorder="1" applyAlignment="1">
      <alignment horizontal="right" vertical="center"/>
    </xf>
    <xf numFmtId="184" fontId="31" fillId="0" borderId="8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41" fontId="24" fillId="0" borderId="8" xfId="0" applyNumberFormat="1" applyFont="1" applyBorder="1" applyAlignment="1">
      <alignment horizontal="right" vertical="center"/>
    </xf>
    <xf numFmtId="3" fontId="24" fillId="0" borderId="8" xfId="0" applyNumberFormat="1" applyFont="1" applyBorder="1" applyAlignment="1">
      <alignment vertical="center"/>
    </xf>
    <xf numFmtId="41" fontId="24" fillId="0" borderId="8" xfId="0" applyNumberFormat="1" applyFont="1" applyBorder="1" applyAlignment="1">
      <alignment vertical="center"/>
    </xf>
    <xf numFmtId="0" fontId="30" fillId="6" borderId="8" xfId="0" applyFont="1" applyFill="1" applyBorder="1" applyAlignment="1">
      <alignment vertical="center"/>
    </xf>
    <xf numFmtId="184" fontId="31" fillId="0" borderId="8" xfId="4" applyNumberFormat="1" applyFont="1" applyBorder="1">
      <alignment vertical="center"/>
    </xf>
    <xf numFmtId="0" fontId="12" fillId="0" borderId="0" xfId="0" applyFont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184" fontId="24" fillId="0" borderId="0" xfId="0" applyNumberFormat="1" applyFont="1" applyAlignment="1">
      <alignment vertical="center"/>
    </xf>
    <xf numFmtId="181" fontId="24" fillId="0" borderId="0" xfId="0" applyNumberFormat="1" applyFont="1" applyAlignment="1">
      <alignment vertical="center"/>
    </xf>
    <xf numFmtId="49" fontId="38" fillId="0" borderId="0" xfId="0" applyNumberFormat="1" applyFont="1" applyAlignment="1">
      <alignment horizontal="left" vertical="center" wrapText="1"/>
    </xf>
    <xf numFmtId="49" fontId="17" fillId="0" borderId="0" xfId="0" applyNumberFormat="1" applyFont="1" applyAlignment="1">
      <alignment vertical="top" wrapText="1"/>
    </xf>
    <xf numFmtId="49" fontId="39" fillId="0" borderId="0" xfId="0" applyNumberFormat="1" applyFont="1" applyAlignment="1">
      <alignment horizontal="right" vertical="top"/>
    </xf>
    <xf numFmtId="49" fontId="40" fillId="0" borderId="35" xfId="0" applyNumberFormat="1" applyFont="1" applyBorder="1" applyAlignment="1">
      <alignment horizontal="center" vertical="center" wrapText="1"/>
    </xf>
    <xf numFmtId="49" fontId="11" fillId="0" borderId="35" xfId="0" applyNumberFormat="1" applyFont="1" applyBorder="1" applyAlignment="1">
      <alignment horizontal="center" vertical="top" wrapText="1"/>
    </xf>
    <xf numFmtId="49" fontId="41" fillId="0" borderId="36" xfId="0" applyNumberFormat="1" applyFont="1" applyBorder="1" applyAlignment="1">
      <alignment horizontal="left" vertical="center" wrapText="1"/>
    </xf>
    <xf numFmtId="49" fontId="17" fillId="0" borderId="37" xfId="0" applyNumberFormat="1" applyFont="1" applyBorder="1" applyAlignment="1">
      <alignment horizontal="left" vertical="top" wrapText="1"/>
    </xf>
    <xf numFmtId="49" fontId="17" fillId="0" borderId="22" xfId="0" applyNumberFormat="1" applyFont="1" applyBorder="1" applyAlignment="1">
      <alignment horizontal="left" vertical="top" wrapText="1"/>
    </xf>
    <xf numFmtId="49" fontId="11" fillId="0" borderId="35" xfId="0" applyNumberFormat="1" applyFont="1" applyBorder="1" applyAlignment="1">
      <alignment horizontal="left" vertical="top" wrapText="1"/>
    </xf>
    <xf numFmtId="0" fontId="42" fillId="0" borderId="38" xfId="0" applyFont="1" applyBorder="1" applyAlignment="1"/>
    <xf numFmtId="0" fontId="42" fillId="0" borderId="37" xfId="0" applyFont="1" applyBorder="1" applyAlignment="1"/>
    <xf numFmtId="0" fontId="42" fillId="0" borderId="22" xfId="0" applyFont="1" applyBorder="1" applyAlignment="1"/>
    <xf numFmtId="49" fontId="40" fillId="7" borderId="35" xfId="0" applyNumberFormat="1" applyFont="1" applyFill="1" applyBorder="1" applyAlignment="1">
      <alignment horizontal="left" vertical="center" wrapText="1"/>
    </xf>
    <xf numFmtId="0" fontId="42" fillId="0" borderId="39" xfId="0" applyFont="1" applyBorder="1" applyAlignment="1"/>
    <xf numFmtId="49" fontId="40" fillId="7" borderId="39" xfId="0" applyNumberFormat="1" applyFont="1" applyFill="1" applyBorder="1" applyAlignment="1">
      <alignment horizontal="center" vertical="center" wrapText="1"/>
    </xf>
    <xf numFmtId="49" fontId="40" fillId="7" borderId="35" xfId="0" applyNumberFormat="1" applyFont="1" applyFill="1" applyBorder="1" applyAlignment="1">
      <alignment horizontal="center" vertical="center" wrapText="1"/>
    </xf>
    <xf numFmtId="49" fontId="40" fillId="0" borderId="40" xfId="0" applyNumberFormat="1" applyFont="1" applyBorder="1" applyAlignment="1">
      <alignment horizontal="left" vertical="top" wrapText="1"/>
    </xf>
    <xf numFmtId="0" fontId="42" fillId="0" borderId="41" xfId="0" applyFont="1" applyBorder="1" applyAlignment="1"/>
    <xf numFmtId="0" fontId="17" fillId="0" borderId="35" xfId="0" applyFont="1" applyBorder="1" applyAlignment="1">
      <alignment horizontal="center" vertical="top" wrapText="1"/>
    </xf>
    <xf numFmtId="49" fontId="13" fillId="0" borderId="36" xfId="0" applyNumberFormat="1" applyFont="1" applyBorder="1" applyAlignment="1">
      <alignment horizontal="center" vertical="top" wrapText="1"/>
    </xf>
    <xf numFmtId="49" fontId="43" fillId="0" borderId="38" xfId="0" applyNumberFormat="1" applyFont="1" applyBorder="1" applyAlignment="1">
      <alignment horizontal="left" vertical="center" wrapText="1"/>
    </xf>
    <xf numFmtId="185" fontId="38" fillId="0" borderId="42" xfId="0" applyNumberFormat="1" applyFont="1" applyBorder="1" applyAlignment="1">
      <alignment horizontal="center" vertical="center" wrapText="1"/>
    </xf>
    <xf numFmtId="49" fontId="44" fillId="0" borderId="37" xfId="0" applyNumberFormat="1" applyFont="1" applyBorder="1" applyAlignment="1">
      <alignment horizontal="left" vertical="center" wrapText="1"/>
    </xf>
    <xf numFmtId="0" fontId="5" fillId="0" borderId="22" xfId="0" applyFont="1" applyBorder="1" applyAlignment="1"/>
    <xf numFmtId="185" fontId="38" fillId="0" borderId="13" xfId="0" applyNumberFormat="1" applyFont="1" applyBorder="1" applyAlignment="1">
      <alignment horizontal="center" vertical="center" wrapText="1"/>
    </xf>
    <xf numFmtId="49" fontId="40" fillId="0" borderId="0" xfId="0" applyNumberFormat="1" applyFont="1" applyAlignment="1">
      <alignment horizontal="center" vertical="center" wrapText="1"/>
    </xf>
    <xf numFmtId="49" fontId="17" fillId="0" borderId="0" xfId="0" applyNumberFormat="1" applyFont="1" applyAlignment="1">
      <alignment horizontal="left" vertical="top" wrapText="1"/>
    </xf>
    <xf numFmtId="49" fontId="11" fillId="0" borderId="0" xfId="0" applyNumberFormat="1" applyFont="1" applyAlignment="1">
      <alignment horizontal="left" vertical="top" wrapText="1"/>
    </xf>
    <xf numFmtId="0" fontId="45" fillId="2" borderId="0" xfId="0" applyFont="1" applyFill="1" applyAlignment="1">
      <alignment vertical="center"/>
    </xf>
    <xf numFmtId="49" fontId="17" fillId="7" borderId="0" xfId="0" applyNumberFormat="1" applyFont="1" applyFill="1" applyAlignment="1">
      <alignment horizontal="center" vertical="center" wrapText="1"/>
    </xf>
    <xf numFmtId="49" fontId="17" fillId="0" borderId="0" xfId="0" applyNumberFormat="1" applyFont="1" applyAlignment="1">
      <alignment horizontal="left" vertical="top"/>
    </xf>
    <xf numFmtId="49" fontId="41" fillId="0" borderId="0" xfId="0" applyNumberFormat="1" applyFont="1" applyAlignment="1">
      <alignment horizontal="center" vertical="top" wrapText="1"/>
    </xf>
    <xf numFmtId="49" fontId="12" fillId="0" borderId="0" xfId="0" applyNumberFormat="1" applyFont="1" applyAlignment="1">
      <alignment horizontal="left" vertical="top" wrapText="1"/>
    </xf>
    <xf numFmtId="185" fontId="38" fillId="0" borderId="15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horizontal="left" vertical="center" wrapText="1"/>
    </xf>
    <xf numFmtId="185" fontId="38" fillId="0" borderId="21" xfId="0" applyNumberFormat="1" applyFont="1" applyBorder="1" applyAlignment="1">
      <alignment horizontal="center" vertical="center" wrapText="1"/>
    </xf>
    <xf numFmtId="49" fontId="46" fillId="4" borderId="0" xfId="0" applyNumberFormat="1" applyFont="1" applyFill="1" applyAlignment="1">
      <alignment horizontal="left" vertical="center" wrapText="1"/>
    </xf>
    <xf numFmtId="49" fontId="47" fillId="0" borderId="35" xfId="0" applyNumberFormat="1" applyFont="1" applyBorder="1" applyAlignment="1">
      <alignment horizontal="center" vertical="center" wrapText="1"/>
    </xf>
    <xf numFmtId="49" fontId="48" fillId="0" borderId="35" xfId="0" applyNumberFormat="1" applyFont="1" applyBorder="1" applyAlignment="1">
      <alignment horizontal="center" vertical="top" wrapText="1"/>
    </xf>
    <xf numFmtId="49" fontId="47" fillId="0" borderId="36" xfId="0" applyNumberFormat="1" applyFont="1" applyBorder="1" applyAlignment="1">
      <alignment horizontal="left" vertical="center" wrapText="1"/>
    </xf>
    <xf numFmtId="49" fontId="47" fillId="0" borderId="37" xfId="0" applyNumberFormat="1" applyFont="1" applyBorder="1" applyAlignment="1">
      <alignment horizontal="left" vertical="top" wrapText="1"/>
    </xf>
    <xf numFmtId="49" fontId="47" fillId="0" borderId="22" xfId="0" applyNumberFormat="1" applyFont="1" applyBorder="1" applyAlignment="1">
      <alignment horizontal="left" vertical="top" wrapText="1"/>
    </xf>
    <xf numFmtId="49" fontId="49" fillId="0" borderId="35" xfId="0" applyNumberFormat="1" applyFont="1" applyBorder="1" applyAlignment="1">
      <alignment horizontal="left" vertical="top" wrapText="1"/>
    </xf>
    <xf numFmtId="49" fontId="50" fillId="0" borderId="35" xfId="0" applyNumberFormat="1" applyFont="1" applyBorder="1" applyAlignment="1">
      <alignment horizontal="center" vertical="center" wrapText="1"/>
    </xf>
    <xf numFmtId="49" fontId="50" fillId="3" borderId="35" xfId="0" applyNumberFormat="1" applyFont="1" applyFill="1" applyBorder="1" applyAlignment="1">
      <alignment horizontal="center" vertical="center" wrapText="1"/>
    </xf>
    <xf numFmtId="49" fontId="51" fillId="7" borderId="35" xfId="0" applyNumberFormat="1" applyFont="1" applyFill="1" applyBorder="1" applyAlignment="1">
      <alignment horizontal="left" vertical="center" wrapText="1"/>
    </xf>
    <xf numFmtId="49" fontId="50" fillId="7" borderId="39" xfId="0" applyNumberFormat="1" applyFont="1" applyFill="1" applyBorder="1" applyAlignment="1">
      <alignment horizontal="center" vertical="center" wrapText="1"/>
    </xf>
    <xf numFmtId="49" fontId="51" fillId="7" borderId="35" xfId="0" applyNumberFormat="1" applyFont="1" applyFill="1" applyBorder="1" applyAlignment="1">
      <alignment horizontal="center" vertical="center" wrapText="1"/>
    </xf>
    <xf numFmtId="49" fontId="52" fillId="0" borderId="43" xfId="0" applyNumberFormat="1" applyFont="1" applyBorder="1" applyAlignment="1">
      <alignment horizontal="left" vertical="top" wrapText="1"/>
    </xf>
    <xf numFmtId="0" fontId="42" fillId="0" borderId="44" xfId="0" applyFont="1" applyBorder="1" applyAlignment="1"/>
    <xf numFmtId="49" fontId="48" fillId="0" borderId="36" xfId="0" applyNumberFormat="1" applyFont="1" applyBorder="1" applyAlignment="1">
      <alignment horizontal="center" vertical="top" wrapText="1"/>
    </xf>
    <xf numFmtId="44" fontId="53" fillId="0" borderId="36" xfId="0" applyNumberFormat="1" applyFont="1" applyBorder="1" applyAlignment="1">
      <alignment horizontal="center" vertical="top" wrapText="1"/>
    </xf>
    <xf numFmtId="49" fontId="54" fillId="3" borderId="45" xfId="0" applyNumberFormat="1" applyFont="1" applyFill="1" applyBorder="1" applyAlignment="1">
      <alignment horizontal="left" vertical="center" wrapText="1"/>
    </xf>
    <xf numFmtId="0" fontId="42" fillId="0" borderId="25" xfId="0" applyFont="1" applyBorder="1" applyAlignment="1"/>
    <xf numFmtId="185" fontId="38" fillId="0" borderId="46" xfId="0" applyNumberFormat="1" applyFont="1" applyBorder="1" applyAlignment="1">
      <alignment horizontal="center" vertical="center" wrapText="1"/>
    </xf>
    <xf numFmtId="49" fontId="55" fillId="0" borderId="38" xfId="0" applyNumberFormat="1" applyFont="1" applyBorder="1" applyAlignment="1">
      <alignment horizontal="left" vertical="center" wrapText="1"/>
    </xf>
    <xf numFmtId="49" fontId="56" fillId="0" borderId="0" xfId="0" applyNumberFormat="1" applyFont="1" applyAlignment="1">
      <alignment horizontal="center" vertical="top" wrapText="1"/>
    </xf>
    <xf numFmtId="49" fontId="50" fillId="0" borderId="0" xfId="0" applyNumberFormat="1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top" wrapText="1"/>
    </xf>
    <xf numFmtId="49" fontId="49" fillId="0" borderId="0" xfId="0" applyNumberFormat="1" applyFont="1" applyAlignment="1">
      <alignment horizontal="left" vertical="top" wrapText="1"/>
    </xf>
    <xf numFmtId="49" fontId="58" fillId="0" borderId="35" xfId="0" applyNumberFormat="1" applyFont="1" applyBorder="1" applyAlignment="1">
      <alignment horizontal="left" vertical="top" wrapText="1"/>
    </xf>
    <xf numFmtId="49" fontId="49" fillId="3" borderId="0" xfId="0" applyNumberFormat="1" applyFont="1" applyFill="1" applyAlignment="1">
      <alignment horizontal="left" vertical="top" wrapText="1"/>
    </xf>
    <xf numFmtId="49" fontId="48" fillId="0" borderId="0" xfId="0" applyNumberFormat="1" applyFont="1" applyAlignment="1">
      <alignment horizontal="left" vertical="top" wrapText="1"/>
    </xf>
    <xf numFmtId="49" fontId="48" fillId="3" borderId="35" xfId="0" applyNumberFormat="1" applyFont="1" applyFill="1" applyBorder="1" applyAlignment="1">
      <alignment horizontal="center" vertical="top" wrapText="1"/>
    </xf>
    <xf numFmtId="49" fontId="48" fillId="0" borderId="0" xfId="0" applyNumberFormat="1" applyFont="1" applyAlignment="1">
      <alignment horizontal="center" vertical="top" wrapText="1"/>
    </xf>
    <xf numFmtId="49" fontId="49" fillId="0" borderId="0" xfId="0" applyNumberFormat="1" applyFont="1" applyAlignment="1">
      <alignment horizontal="left" vertical="top"/>
    </xf>
    <xf numFmtId="49" fontId="47" fillId="7" borderId="0" xfId="0" applyNumberFormat="1" applyFont="1" applyFill="1" applyAlignment="1">
      <alignment horizontal="center" vertical="center" wrapText="1"/>
    </xf>
    <xf numFmtId="49" fontId="48" fillId="0" borderId="0" xfId="0" applyNumberFormat="1" applyFont="1" applyAlignment="1">
      <alignment horizontal="left" vertical="top"/>
    </xf>
    <xf numFmtId="44" fontId="59" fillId="0" borderId="0" xfId="0" applyNumberFormat="1" applyFont="1" applyAlignment="1">
      <alignment horizontal="center" vertical="top" wrapText="1"/>
    </xf>
    <xf numFmtId="185" fontId="38" fillId="0" borderId="39" xfId="0" applyNumberFormat="1" applyFont="1" applyBorder="1" applyAlignment="1">
      <alignment horizontal="center" vertical="center" wrapText="1"/>
    </xf>
    <xf numFmtId="185" fontId="38" fillId="0" borderId="0" xfId="0" applyNumberFormat="1" applyFont="1" applyAlignment="1">
      <alignment vertical="center" wrapText="1"/>
    </xf>
    <xf numFmtId="49" fontId="60" fillId="0" borderId="0" xfId="0" applyNumberFormat="1" applyFont="1" applyAlignment="1">
      <alignment horizontal="left" vertical="center" wrapText="1"/>
    </xf>
    <xf numFmtId="49" fontId="49" fillId="0" borderId="0" xfId="0" applyNumberFormat="1" applyFont="1" applyAlignment="1">
      <alignment horizontal="left" vertical="center" wrapText="1"/>
    </xf>
    <xf numFmtId="49" fontId="60" fillId="0" borderId="0" xfId="0" applyNumberFormat="1" applyFont="1" applyAlignment="1">
      <alignment horizontal="left" vertical="top" wrapText="1"/>
    </xf>
    <xf numFmtId="0" fontId="47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horizontal="left" vertical="center" wrapText="1"/>
    </xf>
    <xf numFmtId="49" fontId="61" fillId="0" borderId="40" xfId="0" applyNumberFormat="1" applyFont="1" applyBorder="1" applyAlignment="1">
      <alignment horizontal="left" vertical="top" wrapText="1"/>
    </xf>
    <xf numFmtId="0" fontId="11" fillId="0" borderId="35" xfId="0" applyFont="1" applyBorder="1" applyAlignment="1">
      <alignment horizontal="center" vertical="top" wrapText="1"/>
    </xf>
    <xf numFmtId="49" fontId="8" fillId="0" borderId="36" xfId="0" applyNumberFormat="1" applyFont="1" applyBorder="1" applyAlignment="1">
      <alignment horizontal="center" vertical="top" wrapText="1"/>
    </xf>
    <xf numFmtId="185" fontId="38" fillId="0" borderId="47" xfId="0" applyNumberFormat="1" applyFont="1" applyBorder="1" applyAlignment="1">
      <alignment horizontal="center" vertical="center" wrapText="1"/>
    </xf>
    <xf numFmtId="185" fontId="38" fillId="0" borderId="48" xfId="0" applyNumberFormat="1" applyFont="1" applyBorder="1" applyAlignment="1">
      <alignment horizontal="center" vertical="center" wrapText="1"/>
    </xf>
    <xf numFmtId="49" fontId="47" fillId="0" borderId="0" xfId="0" applyNumberFormat="1" applyFont="1" applyAlignment="1">
      <alignment horizontal="left" vertical="center" wrapText="1"/>
    </xf>
    <xf numFmtId="49" fontId="48" fillId="0" borderId="35" xfId="0" applyNumberFormat="1" applyFont="1" applyBorder="1" applyAlignment="1">
      <alignment horizontal="left" vertical="top" wrapText="1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3" fillId="0" borderId="0" xfId="0" applyFont="1" applyAlignment="1"/>
    <xf numFmtId="0" fontId="64" fillId="0" borderId="0" xfId="0" applyFont="1" applyAlignment="1">
      <alignment wrapText="1"/>
    </xf>
    <xf numFmtId="0" fontId="64" fillId="0" borderId="0" xfId="0" applyFont="1" applyAlignment="1"/>
    <xf numFmtId="0" fontId="62" fillId="0" borderId="8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8" xfId="0" applyFont="1" applyBorder="1" applyAlignment="1"/>
    <xf numFmtId="0" fontId="63" fillId="8" borderId="8" xfId="0" applyFont="1" applyFill="1" applyBorder="1" applyAlignment="1">
      <alignment horizontal="center"/>
    </xf>
    <xf numFmtId="0" fontId="63" fillId="0" borderId="8" xfId="0" applyFont="1" applyBorder="1" applyAlignment="1">
      <alignment horizontal="center"/>
    </xf>
    <xf numFmtId="0" fontId="63" fillId="0" borderId="49" xfId="0" applyFont="1" applyBorder="1" applyAlignment="1">
      <alignment horizontal="center" vertical="center"/>
    </xf>
    <xf numFmtId="0" fontId="63" fillId="0" borderId="50" xfId="0" applyFont="1" applyBorder="1" applyAlignment="1"/>
    <xf numFmtId="186" fontId="63" fillId="2" borderId="50" xfId="0" applyNumberFormat="1" applyFont="1" applyFill="1" applyBorder="1" applyAlignment="1"/>
    <xf numFmtId="0" fontId="63" fillId="0" borderId="8" xfId="0" applyFont="1" applyBorder="1" applyAlignment="1"/>
    <xf numFmtId="186" fontId="63" fillId="0" borderId="50" xfId="0" applyNumberFormat="1" applyFont="1" applyBorder="1" applyAlignment="1"/>
    <xf numFmtId="0" fontId="65" fillId="0" borderId="8" xfId="0" applyFont="1" applyBorder="1" applyAlignment="1"/>
    <xf numFmtId="187" fontId="65" fillId="2" borderId="8" xfId="0" applyNumberFormat="1" applyFont="1" applyFill="1" applyBorder="1" applyAlignment="1">
      <alignment horizontal="right"/>
    </xf>
    <xf numFmtId="0" fontId="66" fillId="0" borderId="0" xfId="0" applyFont="1" applyAlignment="1"/>
    <xf numFmtId="0" fontId="67" fillId="0" borderId="0" xfId="0" applyFont="1" applyAlignment="1"/>
    <xf numFmtId="0" fontId="68" fillId="0" borderId="0" xfId="0" applyFont="1" applyAlignment="1">
      <alignment horizontal="left" vertical="center"/>
    </xf>
    <xf numFmtId="0" fontId="63" fillId="9" borderId="0" xfId="0" applyFont="1" applyFill="1" applyAlignment="1"/>
    <xf numFmtId="0" fontId="23" fillId="0" borderId="0" xfId="0" applyFont="1" applyAlignment="1"/>
    <xf numFmtId="0" fontId="23" fillId="2" borderId="0" xfId="0" applyFont="1" applyFill="1" applyAlignment="1"/>
    <xf numFmtId="0" fontId="5" fillId="0" borderId="32" xfId="0" applyFont="1" applyBorder="1" applyAlignment="1"/>
    <xf numFmtId="0" fontId="5" fillId="0" borderId="33" xfId="0" applyFont="1" applyBorder="1" applyAlignment="1"/>
    <xf numFmtId="0" fontId="23" fillId="0" borderId="0" xfId="0" applyFont="1" applyAlignment="1">
      <alignment horizontal="left" vertical="top" wrapText="1"/>
    </xf>
    <xf numFmtId="0" fontId="6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186" fontId="65" fillId="2" borderId="50" xfId="0" applyNumberFormat="1" applyFont="1" applyFill="1" applyBorder="1" applyAlignment="1"/>
    <xf numFmtId="0" fontId="23" fillId="0" borderId="0" xfId="0" applyFont="1" applyAlignment="1">
      <alignment horizontal="left" vertical="center"/>
    </xf>
    <xf numFmtId="186" fontId="65" fillId="0" borderId="50" xfId="0" applyNumberFormat="1" applyFont="1" applyBorder="1" applyAlignment="1"/>
    <xf numFmtId="0" fontId="70" fillId="2" borderId="0" xfId="0" applyFont="1" applyFill="1" applyAlignment="1"/>
    <xf numFmtId="181" fontId="63" fillId="0" borderId="0" xfId="0" applyNumberFormat="1" applyFont="1" applyAlignment="1"/>
    <xf numFmtId="0" fontId="7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2" fillId="4" borderId="0" xfId="0" applyFont="1" applyFill="1" applyAlignment="1">
      <alignment vertical="center"/>
    </xf>
    <xf numFmtId="0" fontId="73" fillId="0" borderId="0" xfId="0" applyFont="1" applyAlignment="1"/>
    <xf numFmtId="4" fontId="63" fillId="0" borderId="0" xfId="0" applyNumberFormat="1" applyFont="1" applyAlignme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81" fontId="5" fillId="0" borderId="0" xfId="0" applyNumberFormat="1" applyFont="1" applyAlignment="1">
      <alignment vertical="center"/>
    </xf>
    <xf numFmtId="177" fontId="5" fillId="0" borderId="0" xfId="0" applyNumberFormat="1" applyFont="1" applyAlignment="1">
      <alignment horizontal="left" vertical="center"/>
    </xf>
    <xf numFmtId="0" fontId="74" fillId="0" borderId="0" xfId="0" applyFont="1" applyAlignment="1"/>
    <xf numFmtId="4" fontId="75" fillId="0" borderId="0" xfId="0" applyNumberFormat="1" applyFont="1" applyAlignment="1"/>
    <xf numFmtId="4" fontId="70" fillId="0" borderId="0" xfId="0" applyNumberFormat="1" applyFont="1" applyAlignment="1"/>
    <xf numFmtId="0" fontId="42" fillId="0" borderId="29" xfId="0" applyFont="1" applyBorder="1" applyAlignment="1"/>
    <xf numFmtId="0" fontId="42" fillId="0" borderId="31" xfId="0" applyFont="1" applyBorder="1" applyAlignment="1"/>
    <xf numFmtId="0" fontId="42" fillId="0" borderId="28" xfId="0" applyFont="1" applyBorder="1" applyAlignment="1"/>
    <xf numFmtId="0" fontId="63" fillId="8" borderId="8" xfId="0" applyFont="1" applyFill="1" applyBorder="1" applyAlignment="1">
      <alignment horizontal="center" vertical="center"/>
    </xf>
    <xf numFmtId="0" fontId="76" fillId="0" borderId="49" xfId="0" applyFont="1" applyBorder="1" applyAlignment="1">
      <alignment horizontal="center" vertical="center"/>
    </xf>
    <xf numFmtId="0" fontId="42" fillId="0" borderId="32" xfId="0" applyFont="1" applyBorder="1" applyAlignment="1"/>
    <xf numFmtId="0" fontId="42" fillId="0" borderId="33" xfId="0" applyFont="1" applyBorder="1" applyAlignment="1"/>
    <xf numFmtId="0" fontId="77" fillId="2" borderId="0" xfId="0" applyFont="1" applyFill="1" applyAlignment="1"/>
    <xf numFmtId="0" fontId="61" fillId="0" borderId="0" xfId="0" applyFont="1" applyAlignment="1">
      <alignment vertical="center"/>
    </xf>
    <xf numFmtId="0" fontId="78" fillId="0" borderId="0" xfId="0" applyFont="1" applyAlignment="1"/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181" fontId="42" fillId="0" borderId="0" xfId="0" applyNumberFormat="1" applyFont="1" applyAlignment="1">
      <alignment vertical="center"/>
    </xf>
    <xf numFmtId="177" fontId="42" fillId="0" borderId="0" xfId="0" applyNumberFormat="1" applyFont="1" applyAlignment="1">
      <alignment horizontal="left" vertical="center"/>
    </xf>
    <xf numFmtId="4" fontId="49" fillId="0" borderId="0" xfId="0" applyNumberFormat="1" applyFont="1" applyAlignment="1"/>
    <xf numFmtId="0" fontId="70" fillId="0" borderId="8" xfId="0" applyFont="1" applyBorder="1" applyAlignment="1">
      <alignment horizontal="center"/>
    </xf>
    <xf numFmtId="0" fontId="63" fillId="3" borderId="8" xfId="0" applyFont="1" applyFill="1" applyBorder="1" applyAlignment="1">
      <alignment horizontal="center"/>
    </xf>
    <xf numFmtId="188" fontId="63" fillId="0" borderId="8" xfId="0" applyNumberFormat="1" applyFont="1" applyBorder="1" applyAlignment="1">
      <alignment horizontal="center"/>
    </xf>
    <xf numFmtId="187" fontId="63" fillId="0" borderId="50" xfId="0" applyNumberFormat="1" applyFont="1" applyBorder="1" applyAlignment="1"/>
    <xf numFmtId="187" fontId="63" fillId="0" borderId="8" xfId="0" applyNumberFormat="1" applyFont="1" applyBorder="1" applyAlignment="1"/>
    <xf numFmtId="0" fontId="79" fillId="0" borderId="0" xfId="0" applyFont="1" applyAlignment="1"/>
    <xf numFmtId="0" fontId="64" fillId="0" borderId="0" xfId="0" applyFont="1" applyAlignment="1">
      <alignment horizontal="left" vertical="center"/>
    </xf>
    <xf numFmtId="0" fontId="70" fillId="0" borderId="0" xfId="0" applyFont="1" applyAlignment="1"/>
    <xf numFmtId="0" fontId="70" fillId="0" borderId="0" xfId="0" applyFont="1" applyAlignment="1">
      <alignment vertical="center"/>
    </xf>
    <xf numFmtId="0" fontId="70" fillId="0" borderId="0" xfId="0" applyFont="1" applyAlignment="1">
      <alignment horizontal="left" vertical="center"/>
    </xf>
    <xf numFmtId="187" fontId="65" fillId="0" borderId="50" xfId="0" applyNumberFormat="1" applyFont="1" applyBorder="1" applyAlignment="1"/>
    <xf numFmtId="0" fontId="64" fillId="0" borderId="0" xfId="0" applyFont="1" applyAlignment="1">
      <alignment vertical="center"/>
    </xf>
    <xf numFmtId="0" fontId="80" fillId="4" borderId="0" xfId="0" applyFont="1" applyFill="1" applyAlignment="1">
      <alignment vertical="center"/>
    </xf>
    <xf numFmtId="0" fontId="81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188" fontId="70" fillId="0" borderId="8" xfId="0" applyNumberFormat="1" applyFont="1" applyBorder="1" applyAlignment="1">
      <alignment horizontal="center"/>
    </xf>
    <xf numFmtId="0" fontId="6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38100</xdr:rowOff>
    </xdr:from>
    <xdr:to>
      <xdr:col>6</xdr:col>
      <xdr:colOff>-38100</xdr:colOff>
      <xdr:row>1</xdr:row>
      <xdr:rowOff>-38100</xdr:rowOff>
    </xdr:to>
    <xdr:pic>
      <xdr:nvPicPr>
        <xdr:cNvPr id="2" name="Picture 2" descr="kyMycW"/>
        <xdr:cNvPicPr/>
      </xdr:nvPicPr>
      <xdr:blipFill>
        <a:blip r:embed="rId1"/>
        <a:stretch>
          <a:fillRect/>
        </a:stretch>
      </xdr:blipFill>
      <xdr:spPr>
        <a:xfrm>
          <a:off x="38100" y="38100"/>
          <a:ext cx="9565640" cy="269684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1895475</xdr:colOff>
      <xdr:row>36</xdr:row>
      <xdr:rowOff>133350</xdr:rowOff>
    </xdr:from>
    <xdr:to>
      <xdr:col>6</xdr:col>
      <xdr:colOff>228600</xdr:colOff>
      <xdr:row>37</xdr:row>
      <xdr:rowOff>238125</xdr:rowOff>
    </xdr:to>
    <xdr:pic>
      <xdr:nvPicPr>
        <xdr:cNvPr id="2" name="Picture 2" descr="sOKbgI"/>
        <xdr:cNvPicPr/>
      </xdr:nvPicPr>
      <xdr:blipFill>
        <a:blip r:embed="rId1"/>
        <a:stretch>
          <a:fillRect/>
        </a:stretch>
      </xdr:blipFill>
      <xdr:spPr>
        <a:xfrm>
          <a:off x="10104120" y="14738350"/>
          <a:ext cx="2540000" cy="48577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comments" Target="../comments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workbookViewId="0">
      <selection activeCell="E21" sqref="E21"/>
    </sheetView>
  </sheetViews>
  <sheetFormatPr defaultColWidth="14" defaultRowHeight="15.2"/>
  <cols>
    <col min="1" max="1" width="5" customWidth="1"/>
    <col min="2" max="2" width="50" customWidth="1"/>
    <col min="3" max="3" width="20" customWidth="1"/>
    <col min="4" max="5" width="11" customWidth="1"/>
    <col min="6" max="6" width="71" customWidth="1"/>
    <col min="7" max="7" width="11" customWidth="1"/>
    <col min="8" max="8" width="15" customWidth="1"/>
    <col min="9" max="9" width="11" customWidth="1"/>
    <col min="10" max="10" width="13" customWidth="1"/>
    <col min="11" max="20" width="11" customWidth="1"/>
  </cols>
  <sheetData>
    <row r="1" ht="36" customHeight="1" spans="2:20">
      <c r="B1" s="256" t="s">
        <v>0</v>
      </c>
      <c r="F1" s="334" t="s">
        <v>1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7" customHeight="1" spans="2:20">
      <c r="B2" s="257" t="s">
        <v>2</v>
      </c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7" customHeight="1" spans="2:20">
      <c r="B3" s="257" t="s">
        <v>3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</row>
    <row r="4" ht="17" customHeight="1" spans="2:20">
      <c r="B4" s="331" t="s">
        <v>4</v>
      </c>
      <c r="C4" s="332"/>
      <c r="D4" s="332"/>
      <c r="E4" s="332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325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</row>
    <row r="6" ht="16" customHeight="1" spans="2:20">
      <c r="B6" s="258" t="s">
        <v>5</v>
      </c>
      <c r="C6" s="258"/>
      <c r="D6" s="258"/>
      <c r="E6" s="258"/>
      <c r="F6" s="325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</row>
    <row r="7" ht="16" customHeight="1" spans="2:20">
      <c r="B7" s="259" t="s">
        <v>6</v>
      </c>
      <c r="C7" s="258"/>
      <c r="D7" s="258"/>
      <c r="E7" s="258"/>
      <c r="F7" s="279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7</v>
      </c>
      <c r="C8" s="258"/>
      <c r="D8" s="258"/>
      <c r="E8" s="258"/>
      <c r="F8" s="279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325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8</v>
      </c>
      <c r="D10" s="261"/>
      <c r="E10" s="261"/>
      <c r="F10" s="325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261"/>
      <c r="D11" s="261"/>
      <c r="E11" s="261"/>
      <c r="F11" s="325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265" t="s">
        <v>9</v>
      </c>
      <c r="D12" s="265" t="s">
        <v>10</v>
      </c>
      <c r="E12" s="265" t="s">
        <v>11</v>
      </c>
      <c r="F12" s="282" t="s">
        <v>12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0" customHeight="1" spans="2:20">
      <c r="B13" s="258"/>
      <c r="C13" s="318" t="s">
        <v>13</v>
      </c>
      <c r="D13" s="333">
        <v>46177</v>
      </c>
      <c r="E13" s="319" t="s">
        <v>14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16" customHeight="1" spans="2:20">
      <c r="B14" s="258"/>
      <c r="C14" s="257"/>
      <c r="D14" s="257"/>
      <c r="E14" s="257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</row>
    <row r="15" ht="28" customHeight="1" spans="2:20">
      <c r="B15" s="258"/>
      <c r="C15" s="258"/>
      <c r="D15" s="258"/>
      <c r="E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267" t="s">
        <v>17</v>
      </c>
      <c r="E16" s="267" t="s">
        <v>18</v>
      </c>
      <c r="F16" s="326" t="s">
        <v>19</v>
      </c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327" t="s">
        <v>20</v>
      </c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</row>
    <row r="18" ht="31" customHeight="1" spans="2:20">
      <c r="B18" s="268"/>
      <c r="C18" s="321"/>
      <c r="D18" s="321"/>
      <c r="E18" s="32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</row>
    <row r="19" ht="31" customHeight="1" spans="2:20">
      <c r="B19" s="268"/>
      <c r="C19" s="321"/>
      <c r="D19" s="321"/>
      <c r="E19" s="32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</row>
    <row r="20" ht="31" customHeight="1" spans="2:20">
      <c r="B20" s="268"/>
      <c r="C20" s="321"/>
      <c r="D20" s="321"/>
      <c r="E20" s="32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322"/>
      <c r="D21" s="321"/>
      <c r="E21" s="32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322"/>
      <c r="D22" s="321"/>
      <c r="E22" s="328"/>
      <c r="F22" s="325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322"/>
      <c r="D23" s="321"/>
      <c r="E23" s="328"/>
      <c r="F23" s="325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322"/>
      <c r="D24" s="322"/>
      <c r="E24" s="328"/>
      <c r="F24" s="325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322"/>
      <c r="D25" s="322"/>
      <c r="E25" s="322"/>
      <c r="F25" s="325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2" t="s">
        <v>21</v>
      </c>
      <c r="C26" s="269">
        <v>15</v>
      </c>
      <c r="D26" s="269">
        <f>ROUND(C26*13%,2)</f>
        <v>1.95</v>
      </c>
      <c r="E26" s="286">
        <f>C26+D26</f>
        <v>16.95</v>
      </c>
      <c r="F26" s="289" t="s">
        <v>22</v>
      </c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</row>
    <row r="27" ht="26" customHeight="1" spans="2:20">
      <c r="B27" s="94" t="s">
        <v>23</v>
      </c>
      <c r="C27" s="258"/>
      <c r="D27" s="258"/>
      <c r="E27" s="258"/>
      <c r="F27" s="329" t="s">
        <v>24</v>
      </c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</row>
    <row r="28" ht="17" customHeight="1" spans="2:20">
      <c r="B28" s="274" t="s">
        <v>25</v>
      </c>
      <c r="C28" s="275"/>
      <c r="D28" s="275"/>
      <c r="E28" s="275"/>
      <c r="F28" s="292" t="s">
        <v>26</v>
      </c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22" customHeight="1" spans="2:20">
      <c r="B29" s="275" t="s">
        <v>27</v>
      </c>
      <c r="C29" s="275"/>
      <c r="D29" s="275"/>
      <c r="E29" s="275"/>
      <c r="F29" s="293" t="s">
        <v>28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22" customHeight="1" spans="2:20">
      <c r="B30" s="275" t="s">
        <v>29</v>
      </c>
      <c r="C30" s="275"/>
      <c r="D30" s="275"/>
      <c r="E30" s="275"/>
      <c r="F30" s="293" t="s">
        <v>30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31</v>
      </c>
      <c r="C31" s="275"/>
      <c r="D31" s="275"/>
      <c r="E31" s="275"/>
      <c r="F31" s="293" t="s">
        <v>32</v>
      </c>
      <c r="G31" s="258"/>
      <c r="H31" s="258"/>
      <c r="I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33</v>
      </c>
      <c r="C32" s="275"/>
      <c r="D32" s="275"/>
      <c r="E32" s="275"/>
      <c r="F32" s="293" t="s">
        <v>34</v>
      </c>
      <c r="G32" s="258"/>
      <c r="H32" s="258"/>
      <c r="I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323" t="s">
        <v>35</v>
      </c>
      <c r="C33" s="275"/>
      <c r="D33" s="275"/>
      <c r="E33" s="275"/>
      <c r="F33" s="330" t="s">
        <v>36</v>
      </c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323" t="s">
        <v>37</v>
      </c>
      <c r="C34" s="275"/>
      <c r="D34" s="275"/>
      <c r="E34" s="275"/>
      <c r="F34" s="330" t="s">
        <v>38</v>
      </c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39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41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312"/>
      <c r="F37" s="325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325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325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325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325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325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325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325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325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325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325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325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325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325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325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325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325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325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325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325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325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325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325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325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325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325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325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325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325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325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325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325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325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325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325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325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325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325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325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325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325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325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325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325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325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325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325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325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325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325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325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325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325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325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325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325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325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325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325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325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325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325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325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325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325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325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325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325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325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325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325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325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325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325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325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325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325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325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325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325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325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325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325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325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325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325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325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325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325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325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325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325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325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325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325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325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325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325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325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325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325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325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325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325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325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325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325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325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325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325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325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325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325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325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325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325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325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325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325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325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325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325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325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325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325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325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325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325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325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325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325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325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325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325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325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325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325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325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325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325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325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325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325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325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325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325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325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325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325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325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325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325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325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325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325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325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325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325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325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325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325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325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325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325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topLeftCell="A10" workbookViewId="0">
      <selection activeCell="E21" sqref="E21"/>
    </sheetView>
  </sheetViews>
  <sheetFormatPr defaultColWidth="14" defaultRowHeight="15.2"/>
  <cols>
    <col min="1" max="1" width="5" customWidth="1"/>
    <col min="2" max="2" width="50" customWidth="1"/>
    <col min="3" max="3" width="20" customWidth="1"/>
    <col min="4" max="5" width="11" customWidth="1"/>
    <col min="6" max="6" width="71" customWidth="1"/>
    <col min="7" max="7" width="11" customWidth="1"/>
    <col min="8" max="8" width="15" customWidth="1"/>
    <col min="9" max="9" width="11" customWidth="1"/>
    <col min="10" max="10" width="13" customWidth="1"/>
    <col min="11" max="20" width="11" customWidth="1"/>
  </cols>
  <sheetData>
    <row r="1" ht="36" customHeight="1" spans="2:20">
      <c r="B1" s="256" t="s">
        <v>0</v>
      </c>
      <c r="F1" s="324" t="s">
        <v>1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7" customHeight="1" spans="2:20">
      <c r="B2" s="257" t="s">
        <v>2</v>
      </c>
      <c r="F2" s="324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7" customHeight="1" spans="2:20">
      <c r="B3" s="257" t="s">
        <v>3</v>
      </c>
      <c r="F3" s="324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</row>
    <row r="4" ht="17" customHeight="1" spans="2:20">
      <c r="B4" s="331" t="s">
        <v>4</v>
      </c>
      <c r="C4" s="332"/>
      <c r="D4" s="332"/>
      <c r="E4" s="332"/>
      <c r="F4" s="324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325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</row>
    <row r="6" ht="16" customHeight="1" spans="2:20">
      <c r="B6" s="258" t="s">
        <v>5</v>
      </c>
      <c r="C6" s="258"/>
      <c r="D6" s="258"/>
      <c r="E6" s="258"/>
      <c r="F6" s="325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</row>
    <row r="7" ht="16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325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45</v>
      </c>
      <c r="D10" s="261"/>
      <c r="E10" s="261"/>
      <c r="F10" s="325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261"/>
      <c r="D11" s="261"/>
      <c r="E11" s="261"/>
      <c r="F11" s="325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265" t="s">
        <v>46</v>
      </c>
      <c r="D12" s="265" t="s">
        <v>10</v>
      </c>
      <c r="E12" s="265" t="s">
        <v>11</v>
      </c>
      <c r="F12" s="282" t="s">
        <v>47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0" customHeight="1" spans="2:20">
      <c r="B13" s="258"/>
      <c r="C13" s="318" t="s">
        <v>13</v>
      </c>
      <c r="D13" s="333">
        <v>46177</v>
      </c>
      <c r="E13" s="319" t="s">
        <v>14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16" customHeight="1" spans="2:20">
      <c r="B14" s="258"/>
      <c r="C14" s="257"/>
      <c r="D14" s="257"/>
      <c r="E14" s="257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</row>
    <row r="15" ht="28" customHeight="1" spans="2:20">
      <c r="B15" s="258"/>
      <c r="C15" s="258"/>
      <c r="D15" s="258"/>
      <c r="E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267" t="s">
        <v>48</v>
      </c>
      <c r="E16" s="267" t="s">
        <v>18</v>
      </c>
      <c r="F16" s="326" t="s">
        <v>19</v>
      </c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327" t="s">
        <v>20</v>
      </c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</row>
    <row r="18" ht="31" customHeight="1" spans="2:20">
      <c r="B18" s="268"/>
      <c r="C18" s="321"/>
      <c r="D18" s="321"/>
      <c r="E18" s="328"/>
      <c r="F18" s="327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</row>
    <row r="19" ht="31" customHeight="1" spans="2:20">
      <c r="B19" s="268"/>
      <c r="C19" s="321"/>
      <c r="D19" s="321"/>
      <c r="E19" s="328"/>
      <c r="F19" s="327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</row>
    <row r="20" ht="31" customHeight="1" spans="2:20">
      <c r="B20" s="268"/>
      <c r="C20" s="321"/>
      <c r="D20" s="321"/>
      <c r="E20" s="328"/>
      <c r="F20" s="327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322"/>
      <c r="D21" s="321"/>
      <c r="E21" s="328"/>
      <c r="F21" s="327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322"/>
      <c r="D22" s="321"/>
      <c r="E22" s="328"/>
      <c r="F22" s="325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322"/>
      <c r="D23" s="321"/>
      <c r="E23" s="328"/>
      <c r="F23" s="325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322"/>
      <c r="D24" s="322"/>
      <c r="E24" s="328"/>
      <c r="F24" s="325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322"/>
      <c r="D25" s="322"/>
      <c r="E25" s="322"/>
      <c r="F25" s="325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2" t="s">
        <v>21</v>
      </c>
      <c r="C26" s="269">
        <v>15</v>
      </c>
      <c r="D26" s="269">
        <f>ROUND(C26*13%,2)</f>
        <v>1.95</v>
      </c>
      <c r="E26" s="286">
        <f>C26+D26</f>
        <v>16.95</v>
      </c>
      <c r="F26" s="289" t="s">
        <v>22</v>
      </c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</row>
    <row r="27" ht="26" customHeight="1" spans="2:20">
      <c r="B27" s="94" t="s">
        <v>23</v>
      </c>
      <c r="C27" s="258"/>
      <c r="D27" s="258"/>
      <c r="E27" s="258"/>
      <c r="F27" s="329" t="s">
        <v>24</v>
      </c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</row>
    <row r="28" ht="17" customHeight="1" spans="2:20">
      <c r="B28" s="274" t="s">
        <v>25</v>
      </c>
      <c r="C28" s="275"/>
      <c r="D28" s="275"/>
      <c r="E28" s="275"/>
      <c r="F28" s="292" t="s">
        <v>26</v>
      </c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22" customHeight="1" spans="2:20">
      <c r="B29" s="275" t="s">
        <v>27</v>
      </c>
      <c r="C29" s="275"/>
      <c r="D29" s="275"/>
      <c r="E29" s="275"/>
      <c r="F29" s="293" t="s">
        <v>49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22" customHeight="1" spans="2:20">
      <c r="B30" s="275" t="s">
        <v>29</v>
      </c>
      <c r="C30" s="275"/>
      <c r="D30" s="275"/>
      <c r="E30" s="275"/>
      <c r="F30" s="293" t="s">
        <v>30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31</v>
      </c>
      <c r="C31" s="275"/>
      <c r="D31" s="275"/>
      <c r="E31" s="275"/>
      <c r="F31" s="293" t="s">
        <v>32</v>
      </c>
      <c r="G31" s="258"/>
      <c r="H31" s="258"/>
      <c r="I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33</v>
      </c>
      <c r="C32" s="275"/>
      <c r="D32" s="275"/>
      <c r="E32" s="275"/>
      <c r="F32" s="293" t="s">
        <v>34</v>
      </c>
      <c r="G32" s="258"/>
      <c r="H32" s="258"/>
      <c r="I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323" t="s">
        <v>35</v>
      </c>
      <c r="C33" s="275"/>
      <c r="D33" s="275"/>
      <c r="E33" s="275"/>
      <c r="F33" s="330" t="s">
        <v>36</v>
      </c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323" t="s">
        <v>37</v>
      </c>
      <c r="C34" s="275"/>
      <c r="D34" s="275"/>
      <c r="E34" s="275"/>
      <c r="F34" s="330" t="s">
        <v>38</v>
      </c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39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41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294"/>
      <c r="F37" s="325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325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325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325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325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325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325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325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325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325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325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325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325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325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325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325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325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325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325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325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325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325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325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325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325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325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325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325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325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325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325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325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325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325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325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325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325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325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325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325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325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325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325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325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325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325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325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325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325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325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325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325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325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325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325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325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325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325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325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325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325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325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325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325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325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325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325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325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325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325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325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325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325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325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325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325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325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325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325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325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325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325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325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325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325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325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325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325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325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325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325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325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325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325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325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325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325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325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325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325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325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325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325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325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325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325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325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325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325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325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325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325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325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325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325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325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325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325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325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325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325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325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325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325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325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325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325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325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325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325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325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325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325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325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325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325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325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325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325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325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325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325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325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325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325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325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325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325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325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325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325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325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325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325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325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325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325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325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325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325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325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325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325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325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legacy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workbookViewId="0">
      <selection activeCell="E21" sqref="E21"/>
    </sheetView>
  </sheetViews>
  <sheetFormatPr defaultColWidth="14" defaultRowHeight="15.2"/>
  <cols>
    <col min="1" max="1" width="6" customWidth="1"/>
    <col min="2" max="2" width="50" customWidth="1"/>
    <col min="3" max="3" width="20" customWidth="1"/>
    <col min="4" max="5" width="11" customWidth="1"/>
    <col min="6" max="6" width="71" customWidth="1"/>
    <col min="7" max="7" width="11" customWidth="1"/>
    <col min="8" max="8" width="15" customWidth="1"/>
    <col min="9" max="9" width="11" customWidth="1"/>
    <col min="10" max="10" width="13" customWidth="1"/>
    <col min="11" max="20" width="11" customWidth="1"/>
  </cols>
  <sheetData>
    <row r="1" ht="36" customHeight="1" spans="2:20">
      <c r="B1" s="256" t="s">
        <v>0</v>
      </c>
      <c r="F1" s="324" t="s">
        <v>1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7" customHeight="1" spans="2:20">
      <c r="B2" s="257" t="s">
        <v>2</v>
      </c>
      <c r="F2" s="324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7" customHeight="1" spans="2:20">
      <c r="B3" s="257" t="s">
        <v>50</v>
      </c>
      <c r="F3" s="324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</row>
    <row r="4" ht="17" customHeight="1" spans="2:20">
      <c r="B4" s="257"/>
      <c r="F4" s="324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325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</row>
    <row r="6" ht="16" customHeight="1" spans="2:20">
      <c r="B6" s="258" t="s">
        <v>5</v>
      </c>
      <c r="C6" s="258"/>
      <c r="D6" s="258"/>
      <c r="E6" s="258"/>
      <c r="F6" s="325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</row>
    <row r="7" ht="16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325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8</v>
      </c>
      <c r="D10" s="303"/>
      <c r="E10" s="308"/>
      <c r="F10" s="325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304"/>
      <c r="D11" s="305"/>
      <c r="E11" s="309"/>
      <c r="F11" s="325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265" t="s">
        <v>9</v>
      </c>
      <c r="D12" s="265" t="s">
        <v>10</v>
      </c>
      <c r="E12" s="265" t="s">
        <v>11</v>
      </c>
      <c r="F12" s="282" t="s">
        <v>51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0" customHeight="1" spans="2:20">
      <c r="B13" s="258"/>
      <c r="C13" s="266" t="s">
        <v>13</v>
      </c>
      <c r="D13" s="320">
        <v>46177</v>
      </c>
      <c r="E13" s="266" t="s">
        <v>14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16" customHeight="1" spans="2:20">
      <c r="B14" s="258"/>
      <c r="C14" s="257"/>
      <c r="D14" s="257"/>
      <c r="E14" s="257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</row>
    <row r="15" ht="31" customHeight="1" spans="2:20">
      <c r="B15" s="258"/>
      <c r="C15" s="258"/>
      <c r="D15" s="258"/>
      <c r="E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307" t="s">
        <v>52</v>
      </c>
      <c r="E16" s="267" t="s">
        <v>18</v>
      </c>
      <c r="F16" s="326" t="s">
        <v>53</v>
      </c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327" t="s">
        <v>20</v>
      </c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</row>
    <row r="18" ht="31" customHeight="1" spans="2:20">
      <c r="B18" s="268"/>
      <c r="C18" s="321"/>
      <c r="D18" s="321"/>
      <c r="E18" s="328"/>
      <c r="F18" s="327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</row>
    <row r="19" ht="31" customHeight="1" spans="2:20">
      <c r="B19" s="268"/>
      <c r="C19" s="321"/>
      <c r="D19" s="321"/>
      <c r="E19" s="328"/>
      <c r="F19" s="327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</row>
    <row r="20" ht="31" customHeight="1" spans="2:20">
      <c r="B20" s="268"/>
      <c r="C20" s="321"/>
      <c r="D20" s="321"/>
      <c r="E20" s="328"/>
      <c r="F20" s="327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322"/>
      <c r="D21" s="321"/>
      <c r="E21" s="328"/>
      <c r="F21" s="327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322"/>
      <c r="D22" s="321"/>
      <c r="E22" s="328"/>
      <c r="F22" s="325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322"/>
      <c r="D23" s="321"/>
      <c r="E23" s="328"/>
      <c r="F23" s="325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322"/>
      <c r="D24" s="322"/>
      <c r="E24" s="328"/>
      <c r="F24" s="325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322"/>
      <c r="D25" s="322"/>
      <c r="E25" s="322"/>
      <c r="F25" s="325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2" t="s">
        <v>21</v>
      </c>
      <c r="C26" s="269">
        <v>15</v>
      </c>
      <c r="D26" s="269">
        <f>ROUND(C26*13%,2)</f>
        <v>1.95</v>
      </c>
      <c r="E26" s="286">
        <f>C26+D26</f>
        <v>16.95</v>
      </c>
      <c r="F26" s="289" t="s">
        <v>22</v>
      </c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</row>
    <row r="27" ht="24" customHeight="1" spans="2:20">
      <c r="B27" s="94" t="s">
        <v>23</v>
      </c>
      <c r="C27" s="258"/>
      <c r="D27" s="258"/>
      <c r="E27" s="258"/>
      <c r="F27" s="329" t="s">
        <v>24</v>
      </c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</row>
    <row r="28" ht="17" customHeight="1" spans="2:20">
      <c r="B28" s="274" t="s">
        <v>25</v>
      </c>
      <c r="C28" s="275"/>
      <c r="D28" s="275"/>
      <c r="E28" s="275"/>
      <c r="F28" s="292" t="s">
        <v>26</v>
      </c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22" customHeight="1" spans="2:20">
      <c r="B29" s="275" t="s">
        <v>27</v>
      </c>
      <c r="C29" s="275"/>
      <c r="D29" s="275"/>
      <c r="E29" s="275"/>
      <c r="F29" s="293" t="s">
        <v>49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22" customHeight="1" spans="2:20">
      <c r="B30" s="275" t="s">
        <v>29</v>
      </c>
      <c r="C30" s="275"/>
      <c r="D30" s="275"/>
      <c r="E30" s="275"/>
      <c r="F30" s="293" t="s">
        <v>30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31</v>
      </c>
      <c r="C31" s="275"/>
      <c r="D31" s="275"/>
      <c r="E31" s="275"/>
      <c r="F31" s="293" t="s">
        <v>32</v>
      </c>
      <c r="G31" s="258"/>
      <c r="H31" s="258"/>
      <c r="I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33</v>
      </c>
      <c r="C32" s="275"/>
      <c r="D32" s="275"/>
      <c r="E32" s="275"/>
      <c r="F32" s="293" t="s">
        <v>34</v>
      </c>
      <c r="G32" s="258"/>
      <c r="H32" s="258"/>
      <c r="I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323" t="s">
        <v>35</v>
      </c>
      <c r="C33" s="275"/>
      <c r="D33" s="275"/>
      <c r="E33" s="275"/>
      <c r="F33" s="330" t="s">
        <v>36</v>
      </c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323" t="s">
        <v>37</v>
      </c>
      <c r="C34" s="275"/>
      <c r="D34" s="275"/>
      <c r="E34" s="275"/>
      <c r="F34" s="330" t="s">
        <v>38</v>
      </c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39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41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312"/>
      <c r="F37" s="325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325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325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325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325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325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325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325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325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325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325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325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325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325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325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325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325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325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325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325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325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325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325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325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325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325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325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325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325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325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325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325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325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325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325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325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325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325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325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325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325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325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325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325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325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325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325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325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325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325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325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325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325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325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325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325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325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325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325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325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325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325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325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325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325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325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325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325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325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325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325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325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325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325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325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325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325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325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325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325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325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325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325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325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325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325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325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325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325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325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325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325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325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325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325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325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325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325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325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325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325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325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325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325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325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325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325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325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325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325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325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325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325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325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325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325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325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325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325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325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325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325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325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325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325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325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325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325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325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325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325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325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325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325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325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325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325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325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325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325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325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325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325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325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325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325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325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325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325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325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325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325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325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325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325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325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325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325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325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325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325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325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325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325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topLeftCell="A2" workbookViewId="0">
      <selection activeCell="E21" sqref="E21"/>
    </sheetView>
  </sheetViews>
  <sheetFormatPr defaultColWidth="14" defaultRowHeight="15.2"/>
  <cols>
    <col min="1" max="1" width="6" customWidth="1"/>
    <col min="2" max="2" width="50" customWidth="1"/>
    <col min="3" max="3" width="20" customWidth="1"/>
    <col min="4" max="5" width="11" customWidth="1"/>
    <col min="6" max="6" width="71" customWidth="1"/>
    <col min="7" max="7" width="11" customWidth="1"/>
    <col min="8" max="8" width="15" customWidth="1"/>
    <col min="9" max="9" width="11" customWidth="1"/>
    <col min="10" max="10" width="13" customWidth="1"/>
    <col min="11" max="20" width="11" customWidth="1"/>
  </cols>
  <sheetData>
    <row r="1" ht="36" customHeight="1" spans="2:20">
      <c r="B1" s="256" t="s">
        <v>0</v>
      </c>
      <c r="F1" s="324" t="s">
        <v>1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7" customHeight="1" spans="2:20">
      <c r="B2" s="257" t="s">
        <v>2</v>
      </c>
      <c r="F2" s="324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7" customHeight="1" spans="2:20">
      <c r="B3" s="257" t="s">
        <v>50</v>
      </c>
      <c r="F3" s="324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</row>
    <row r="4" ht="17" customHeight="1" spans="2:20">
      <c r="B4" s="257"/>
      <c r="F4" s="324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325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</row>
    <row r="6" ht="16" customHeight="1" spans="2:20">
      <c r="B6" s="258" t="s">
        <v>5</v>
      </c>
      <c r="C6" s="258"/>
      <c r="D6" s="258"/>
      <c r="E6" s="258"/>
      <c r="F6" s="325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</row>
    <row r="7" ht="16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325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45</v>
      </c>
      <c r="D10" s="261"/>
      <c r="E10" s="261"/>
      <c r="F10" s="325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261"/>
      <c r="D11" s="261"/>
      <c r="E11" s="261"/>
      <c r="F11" s="325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265" t="s">
        <v>46</v>
      </c>
      <c r="D12" s="265" t="s">
        <v>10</v>
      </c>
      <c r="E12" s="265" t="s">
        <v>11</v>
      </c>
      <c r="F12" s="282" t="s">
        <v>54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0" customHeight="1" spans="2:20">
      <c r="B13" s="258"/>
      <c r="C13" s="266" t="s">
        <v>13</v>
      </c>
      <c r="D13" s="320">
        <v>46177</v>
      </c>
      <c r="E13" s="266" t="s">
        <v>14</v>
      </c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16" customHeight="1" spans="2:20">
      <c r="B14" s="258"/>
      <c r="C14" s="257"/>
      <c r="D14" s="257"/>
      <c r="E14" s="257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</row>
    <row r="15" ht="31" customHeight="1" spans="2:20">
      <c r="B15" s="258"/>
      <c r="C15" s="258"/>
      <c r="D15" s="258"/>
      <c r="E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267" t="s">
        <v>55</v>
      </c>
      <c r="E16" s="267" t="s">
        <v>18</v>
      </c>
      <c r="F16" s="326" t="s">
        <v>53</v>
      </c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327" t="s">
        <v>20</v>
      </c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</row>
    <row r="18" ht="31" customHeight="1" spans="2:20">
      <c r="B18" s="268"/>
      <c r="C18" s="321"/>
      <c r="D18" s="321"/>
      <c r="E18" s="328"/>
      <c r="F18" s="327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</row>
    <row r="19" ht="31" customHeight="1" spans="2:20">
      <c r="B19" s="268"/>
      <c r="C19" s="321"/>
      <c r="D19" s="321"/>
      <c r="E19" s="328"/>
      <c r="F19" s="327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</row>
    <row r="20" ht="31" customHeight="1" spans="2:20">
      <c r="B20" s="268"/>
      <c r="C20" s="321"/>
      <c r="D20" s="321"/>
      <c r="E20" s="328"/>
      <c r="F20" s="327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322"/>
      <c r="D21" s="321"/>
      <c r="E21" s="328"/>
      <c r="F21" s="327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322"/>
      <c r="D22" s="321"/>
      <c r="E22" s="328"/>
      <c r="F22" s="325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322"/>
      <c r="D23" s="321"/>
      <c r="E23" s="328"/>
      <c r="F23" s="325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322"/>
      <c r="D24" s="322"/>
      <c r="E24" s="328"/>
      <c r="F24" s="325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322"/>
      <c r="D25" s="322"/>
      <c r="E25" s="322"/>
      <c r="F25" s="325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2" t="s">
        <v>21</v>
      </c>
      <c r="C26" s="269">
        <v>15</v>
      </c>
      <c r="D26" s="269">
        <f>ROUND(C26*13%,2)</f>
        <v>1.95</v>
      </c>
      <c r="E26" s="286">
        <f>C26+D26</f>
        <v>16.95</v>
      </c>
      <c r="F26" s="289" t="s">
        <v>22</v>
      </c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</row>
    <row r="27" ht="24" customHeight="1" spans="2:20">
      <c r="B27" s="94" t="s">
        <v>23</v>
      </c>
      <c r="C27" s="258"/>
      <c r="D27" s="258"/>
      <c r="E27" s="258"/>
      <c r="F27" s="329" t="s">
        <v>24</v>
      </c>
      <c r="G27" s="258"/>
      <c r="H27" s="258"/>
      <c r="I27" s="258"/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</row>
    <row r="28" ht="17" customHeight="1" spans="2:20">
      <c r="B28" s="274" t="s">
        <v>25</v>
      </c>
      <c r="C28" s="275"/>
      <c r="D28" s="275"/>
      <c r="E28" s="275"/>
      <c r="F28" s="292" t="s">
        <v>26</v>
      </c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22" customHeight="1" spans="2:20">
      <c r="B29" s="275" t="s">
        <v>27</v>
      </c>
      <c r="C29" s="275"/>
      <c r="D29" s="275"/>
      <c r="E29" s="275"/>
      <c r="F29" s="293" t="s">
        <v>49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22" customHeight="1" spans="2:20">
      <c r="B30" s="275" t="s">
        <v>29</v>
      </c>
      <c r="C30" s="275"/>
      <c r="D30" s="275"/>
      <c r="E30" s="275"/>
      <c r="F30" s="293" t="s">
        <v>30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31</v>
      </c>
      <c r="C31" s="275"/>
      <c r="D31" s="275"/>
      <c r="E31" s="275"/>
      <c r="F31" s="293" t="s">
        <v>32</v>
      </c>
      <c r="G31" s="258"/>
      <c r="H31" s="258"/>
      <c r="I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33</v>
      </c>
      <c r="C32" s="275"/>
      <c r="D32" s="275"/>
      <c r="E32" s="275"/>
      <c r="F32" s="293" t="s">
        <v>34</v>
      </c>
      <c r="G32" s="258"/>
      <c r="H32" s="258"/>
      <c r="I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323" t="s">
        <v>35</v>
      </c>
      <c r="C33" s="275"/>
      <c r="D33" s="275"/>
      <c r="E33" s="275"/>
      <c r="F33" s="330" t="s">
        <v>36</v>
      </c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323" t="s">
        <v>37</v>
      </c>
      <c r="C34" s="275"/>
      <c r="D34" s="275"/>
      <c r="E34" s="275"/>
      <c r="F34" s="330" t="s">
        <v>38</v>
      </c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39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41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294"/>
      <c r="F37" s="325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325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325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325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325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325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325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325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325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325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325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325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325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325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325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325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325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325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325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325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325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325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325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325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325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325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325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325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325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325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325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325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325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325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325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325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325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325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325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325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325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325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325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325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325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325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325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325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325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325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325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325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325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325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325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325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325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325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325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325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325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325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325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325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325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325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325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325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325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325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325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325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325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325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325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325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325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325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325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325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325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325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325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325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325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325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325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325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325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325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325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325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325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325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325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325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325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325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325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325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325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325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325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325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325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325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325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325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325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325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325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325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325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325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325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325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325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325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325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325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325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325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325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325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325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325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325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325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325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325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325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325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325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325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325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325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325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325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325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325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325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325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325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325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325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325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325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325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325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325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325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325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325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325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325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325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325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325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325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325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325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325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325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325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workbookViewId="0">
      <selection activeCell="D28" sqref="D28"/>
    </sheetView>
  </sheetViews>
  <sheetFormatPr defaultColWidth="14" defaultRowHeight="15.2"/>
  <cols>
    <col min="1" max="1" width="6" customWidth="1"/>
    <col min="2" max="2" width="42" customWidth="1"/>
    <col min="3" max="3" width="21" customWidth="1"/>
    <col min="4" max="4" width="22" customWidth="1"/>
    <col min="5" max="5" width="20" customWidth="1"/>
    <col min="6" max="6" width="71" customWidth="1"/>
    <col min="7" max="8" width="15" customWidth="1"/>
    <col min="9" max="9" width="22" customWidth="1"/>
    <col min="10" max="10" width="17" customWidth="1"/>
    <col min="11" max="11" width="15" customWidth="1"/>
    <col min="12" max="12" width="14" customWidth="1"/>
    <col min="13" max="14" width="11" customWidth="1"/>
    <col min="15" max="15" width="16" customWidth="1"/>
    <col min="16" max="20" width="11" customWidth="1"/>
  </cols>
  <sheetData>
    <row r="1" ht="36" customHeight="1" spans="2:20">
      <c r="B1" s="256" t="s">
        <v>56</v>
      </c>
      <c r="F1" s="276" t="s">
        <v>57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6" customHeight="1" spans="2:20">
      <c r="B2" s="257" t="s">
        <v>58</v>
      </c>
      <c r="F2" s="283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6" customHeight="1" spans="2:20">
      <c r="B3" s="257" t="s">
        <v>59</v>
      </c>
      <c r="F3" s="283"/>
      <c r="G3" s="258"/>
      <c r="H3" s="258"/>
      <c r="I3" s="258"/>
      <c r="J3" s="258"/>
      <c r="K3" s="258"/>
      <c r="L3" s="258"/>
      <c r="M3" s="258"/>
      <c r="N3" s="285"/>
      <c r="O3" s="316"/>
      <c r="P3" s="258"/>
      <c r="Q3" s="258"/>
      <c r="R3" s="258"/>
      <c r="S3" s="258"/>
      <c r="T3" s="258"/>
    </row>
    <row r="4" ht="16" customHeight="1" spans="2:20">
      <c r="B4" s="257"/>
      <c r="F4" s="283"/>
      <c r="G4" s="258"/>
      <c r="H4" s="258"/>
      <c r="I4" s="258"/>
      <c r="J4" s="258"/>
      <c r="K4" s="258"/>
      <c r="L4" s="258"/>
      <c r="M4" s="258"/>
      <c r="N4" s="285"/>
      <c r="O4" s="316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278"/>
      <c r="G5" s="258"/>
      <c r="H5" s="258"/>
      <c r="I5" s="258"/>
      <c r="J5" s="258"/>
      <c r="K5" s="258"/>
      <c r="L5" s="258"/>
      <c r="M5" s="258"/>
      <c r="N5" s="285"/>
      <c r="O5" s="313"/>
      <c r="P5" s="258"/>
      <c r="Q5" s="258"/>
      <c r="R5" s="258"/>
      <c r="S5" s="258"/>
      <c r="T5" s="258"/>
    </row>
    <row r="6" ht="16" customHeight="1" spans="2:20">
      <c r="B6" s="258" t="s">
        <v>60</v>
      </c>
      <c r="C6" s="258"/>
      <c r="D6" s="258"/>
      <c r="E6" s="258"/>
      <c r="F6" s="278"/>
      <c r="G6" s="258"/>
      <c r="H6" s="258"/>
      <c r="I6" s="258"/>
      <c r="J6" s="258"/>
      <c r="K6" s="258"/>
      <c r="L6" s="258"/>
      <c r="M6" s="258"/>
      <c r="N6" s="285"/>
      <c r="O6" s="313"/>
      <c r="P6" s="258"/>
      <c r="Q6" s="258"/>
      <c r="R6" s="258"/>
      <c r="S6" s="258"/>
      <c r="T6" s="258"/>
    </row>
    <row r="7" ht="16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27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8</v>
      </c>
      <c r="D10" s="303"/>
      <c r="E10" s="308"/>
      <c r="F10" s="278"/>
      <c r="G10" s="258"/>
      <c r="H10" s="258"/>
      <c r="I10" s="258"/>
      <c r="J10" s="258"/>
      <c r="K10" s="258"/>
      <c r="L10" s="295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304"/>
      <c r="D11" s="305"/>
      <c r="E11" s="309"/>
      <c r="F11" s="27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306" t="s">
        <v>9</v>
      </c>
      <c r="D12" s="306" t="s">
        <v>10</v>
      </c>
      <c r="E12" s="306" t="s">
        <v>11</v>
      </c>
      <c r="F12" s="282" t="s">
        <v>61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1" customHeight="1" spans="2:20">
      <c r="B13" s="258"/>
      <c r="C13" s="318" t="s">
        <v>62</v>
      </c>
      <c r="D13" s="318" t="s">
        <v>63</v>
      </c>
      <c r="E13" s="319" t="s">
        <v>14</v>
      </c>
      <c r="F13" s="283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21" customHeight="1" spans="2:20">
      <c r="B14" s="258"/>
      <c r="C14" s="257"/>
      <c r="D14" s="257"/>
      <c r="E14" s="257"/>
      <c r="F14" s="283"/>
      <c r="G14" s="258"/>
      <c r="H14" s="258"/>
      <c r="I14" s="258"/>
      <c r="J14" s="313"/>
      <c r="K14" s="314"/>
      <c r="L14" s="315"/>
      <c r="M14" s="258"/>
      <c r="N14" s="258"/>
      <c r="O14" s="258"/>
      <c r="P14" s="258"/>
      <c r="Q14" s="258"/>
      <c r="R14" s="258"/>
      <c r="S14" s="258"/>
      <c r="T14" s="258"/>
    </row>
    <row r="15" ht="24" customHeight="1" spans="2:20">
      <c r="B15" s="258" t="s">
        <v>64</v>
      </c>
      <c r="C15" s="258"/>
      <c r="D15" s="258"/>
      <c r="E15" s="258"/>
      <c r="F15" s="283"/>
      <c r="G15" s="258"/>
      <c r="H15" s="258"/>
      <c r="I15" s="258"/>
      <c r="J15" s="313"/>
      <c r="K15" s="314"/>
      <c r="L15" s="315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267" t="s">
        <v>65</v>
      </c>
      <c r="E16" s="267" t="s">
        <v>18</v>
      </c>
      <c r="F16" s="284" t="s">
        <v>66</v>
      </c>
      <c r="G16" s="285"/>
      <c r="H16" s="285"/>
      <c r="I16" s="285"/>
      <c r="J16" s="316"/>
      <c r="L16" s="315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287" t="s">
        <v>20</v>
      </c>
      <c r="G17" s="258"/>
      <c r="H17" s="258"/>
      <c r="I17" s="285"/>
      <c r="J17" s="316"/>
      <c r="K17" s="314"/>
      <c r="L17" s="315"/>
      <c r="M17" s="258"/>
      <c r="N17" s="285"/>
      <c r="O17" s="258"/>
      <c r="P17" s="258"/>
      <c r="Q17" s="258"/>
      <c r="R17" s="258"/>
      <c r="S17" s="258"/>
      <c r="T17" s="258"/>
    </row>
    <row r="18" ht="31" customHeight="1" spans="2:20">
      <c r="B18" s="270"/>
      <c r="C18" s="271"/>
      <c r="D18" s="271"/>
      <c r="E18" s="288"/>
      <c r="F18" s="283"/>
      <c r="G18" s="258"/>
      <c r="H18" s="258"/>
      <c r="I18" s="285"/>
      <c r="J18" s="316"/>
      <c r="K18" s="314"/>
      <c r="M18" s="258"/>
      <c r="N18" s="285"/>
      <c r="O18" s="258"/>
      <c r="P18" s="258"/>
      <c r="Q18" s="258"/>
      <c r="R18" s="258"/>
      <c r="S18" s="258"/>
      <c r="T18" s="258"/>
    </row>
    <row r="19" ht="31" customHeight="1" spans="2:20">
      <c r="B19" s="270"/>
      <c r="C19" s="271"/>
      <c r="D19" s="271"/>
      <c r="E19" s="288"/>
      <c r="F19" s="283"/>
      <c r="G19" s="258"/>
      <c r="H19" s="258"/>
      <c r="I19" s="285"/>
      <c r="J19" s="316"/>
      <c r="K19" s="314"/>
      <c r="L19" s="258"/>
      <c r="M19" s="258"/>
      <c r="N19" s="285"/>
      <c r="O19" s="258"/>
      <c r="P19" s="258"/>
      <c r="Q19" s="258"/>
      <c r="R19" s="258"/>
      <c r="S19" s="258"/>
      <c r="T19" s="258"/>
    </row>
    <row r="20" ht="31" customHeight="1" spans="2:20">
      <c r="B20" s="270"/>
      <c r="C20" s="271"/>
      <c r="D20" s="271"/>
      <c r="E20" s="288"/>
      <c r="F20" s="283"/>
      <c r="G20" s="258"/>
      <c r="H20" s="258"/>
      <c r="I20" s="300"/>
      <c r="L20" s="317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270"/>
      <c r="D21" s="270"/>
      <c r="E21" s="270"/>
      <c r="F21" s="283"/>
      <c r="G21" s="258"/>
      <c r="H21" s="258"/>
      <c r="I21" s="258"/>
      <c r="J21" s="258"/>
      <c r="K21" s="295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270"/>
      <c r="D22" s="270"/>
      <c r="E22" s="270"/>
      <c r="F22" s="278"/>
      <c r="G22" s="258"/>
      <c r="H22" s="258"/>
      <c r="I22" s="258"/>
      <c r="J22" s="313"/>
      <c r="K22" s="314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270"/>
      <c r="D23" s="270"/>
      <c r="E23" s="270"/>
      <c r="F23" s="278"/>
      <c r="G23" s="258"/>
      <c r="H23" s="258"/>
      <c r="I23" s="285"/>
      <c r="J23" s="258"/>
      <c r="K23" s="314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270"/>
      <c r="D24" s="270"/>
      <c r="E24" s="270"/>
      <c r="F24" s="278"/>
      <c r="G24" s="258"/>
      <c r="H24" s="258"/>
      <c r="I24" s="285"/>
      <c r="J24" s="258"/>
      <c r="K24" s="314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270"/>
      <c r="D25" s="270"/>
      <c r="E25" s="270"/>
      <c r="F25" s="278"/>
      <c r="G25" s="258"/>
      <c r="H25" s="258"/>
      <c r="I25" s="285"/>
      <c r="J25" s="258"/>
      <c r="K25" s="314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0"/>
      <c r="C26" s="270"/>
      <c r="D26" s="270"/>
      <c r="E26" s="270"/>
      <c r="F26" s="278"/>
      <c r="G26" s="258"/>
      <c r="H26" s="258"/>
      <c r="I26" s="285"/>
      <c r="J26" s="258"/>
      <c r="K26" s="314"/>
      <c r="L26" s="258"/>
      <c r="M26" s="258"/>
      <c r="N26" s="258"/>
      <c r="O26" s="258"/>
      <c r="P26" s="258"/>
      <c r="Q26" s="258"/>
      <c r="R26" s="258"/>
      <c r="S26" s="258"/>
      <c r="T26" s="258"/>
    </row>
    <row r="27" ht="31" customHeight="1" spans="2:20">
      <c r="B27" s="270"/>
      <c r="C27" s="270"/>
      <c r="D27" s="270"/>
      <c r="E27" s="270"/>
      <c r="F27" s="278"/>
      <c r="G27" s="258"/>
      <c r="H27" s="258"/>
      <c r="I27" s="300"/>
      <c r="K27" s="258"/>
      <c r="L27" s="302"/>
      <c r="M27" s="258"/>
      <c r="N27" s="258"/>
      <c r="O27" s="258"/>
      <c r="P27" s="258"/>
      <c r="Q27" s="258"/>
      <c r="R27" s="258"/>
      <c r="S27" s="258"/>
      <c r="T27" s="258"/>
    </row>
    <row r="28" ht="31" customHeight="1" spans="2:20">
      <c r="B28" s="272" t="s">
        <v>21</v>
      </c>
      <c r="C28" s="273" t="s">
        <v>67</v>
      </c>
      <c r="D28" s="273" t="s">
        <v>68</v>
      </c>
      <c r="E28" s="273" t="s">
        <v>69</v>
      </c>
      <c r="F28" s="289" t="s">
        <v>22</v>
      </c>
      <c r="G28" s="290"/>
      <c r="H28" s="290"/>
      <c r="I28" s="290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16" customHeight="1" spans="2:20">
      <c r="B29" s="94" t="s">
        <v>23</v>
      </c>
      <c r="C29" s="258"/>
      <c r="D29" s="258"/>
      <c r="E29" s="258"/>
      <c r="F29" s="311" t="s">
        <v>24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16" customHeight="1" spans="2:20">
      <c r="B30" s="274" t="s">
        <v>25</v>
      </c>
      <c r="C30" s="275"/>
      <c r="D30" s="275"/>
      <c r="E30" s="275"/>
      <c r="F30" s="292" t="s">
        <v>26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70</v>
      </c>
      <c r="C31" s="275"/>
      <c r="D31" s="275"/>
      <c r="E31" s="275"/>
      <c r="F31" s="293" t="s">
        <v>49</v>
      </c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71</v>
      </c>
      <c r="C32" s="275"/>
      <c r="D32" s="275"/>
      <c r="E32" s="275"/>
      <c r="F32" s="293" t="s">
        <v>30</v>
      </c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275" t="s">
        <v>72</v>
      </c>
      <c r="C33" s="275"/>
      <c r="D33" s="275"/>
      <c r="E33" s="275"/>
      <c r="F33" s="293" t="s">
        <v>32</v>
      </c>
      <c r="G33" s="258"/>
      <c r="H33" s="258"/>
      <c r="I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275" t="s">
        <v>73</v>
      </c>
      <c r="C34" s="275"/>
      <c r="D34" s="275"/>
      <c r="E34" s="275"/>
      <c r="F34" s="293" t="s">
        <v>34</v>
      </c>
      <c r="G34" s="258"/>
      <c r="H34" s="258"/>
      <c r="I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74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75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312"/>
      <c r="F37" s="283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27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27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27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27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27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27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27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27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27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27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27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27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27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27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27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27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27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27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27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27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27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27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27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27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27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27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27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27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27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27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27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27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27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27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27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27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27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27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27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27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27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27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27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27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27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27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27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27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27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27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27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27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27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27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27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27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27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27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27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27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27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27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27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27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27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27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27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27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27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27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27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27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27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27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27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27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27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27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27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27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27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27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27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27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27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27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27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27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27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27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27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27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27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27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27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27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27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27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27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27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27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27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27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27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27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27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27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27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27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27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27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27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27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27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27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27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27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27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27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27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27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27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27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27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27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27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27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27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27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27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27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27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27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27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27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27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27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27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27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27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27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27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27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27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27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27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27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27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27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27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27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27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27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27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27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27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27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27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27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27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27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27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27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workbookViewId="0">
      <selection activeCell="C17" sqref="C17:E17"/>
    </sheetView>
  </sheetViews>
  <sheetFormatPr defaultColWidth="14" defaultRowHeight="15.2"/>
  <cols>
    <col min="1" max="1" width="6" customWidth="1"/>
    <col min="2" max="2" width="42" customWidth="1"/>
    <col min="3" max="3" width="21" customWidth="1"/>
    <col min="4" max="4" width="22" customWidth="1"/>
    <col min="5" max="5" width="20" customWidth="1"/>
    <col min="6" max="6" width="71" customWidth="1"/>
    <col min="7" max="8" width="15" customWidth="1"/>
    <col min="9" max="9" width="22" customWidth="1"/>
    <col min="10" max="10" width="17" customWidth="1"/>
    <col min="11" max="11" width="15" customWidth="1"/>
    <col min="12" max="12" width="14" customWidth="1"/>
    <col min="13" max="14" width="11" customWidth="1"/>
    <col min="15" max="15" width="16" customWidth="1"/>
    <col min="16" max="20" width="11" customWidth="1"/>
  </cols>
  <sheetData>
    <row r="1" ht="36" customHeight="1" spans="2:20">
      <c r="B1" s="256" t="s">
        <v>56</v>
      </c>
      <c r="F1" s="276" t="s">
        <v>57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6" customHeight="1" spans="2:20">
      <c r="B2" s="257" t="s">
        <v>58</v>
      </c>
      <c r="F2" s="283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6" customHeight="1" spans="2:20">
      <c r="B3" s="257" t="s">
        <v>59</v>
      </c>
      <c r="F3" s="283"/>
      <c r="G3" s="258"/>
      <c r="H3" s="258"/>
      <c r="I3" s="258"/>
      <c r="J3" s="258"/>
      <c r="K3" s="258"/>
      <c r="L3" s="258"/>
      <c r="M3" s="258"/>
      <c r="N3" s="285"/>
      <c r="O3" s="299"/>
      <c r="P3" s="258"/>
      <c r="Q3" s="258"/>
      <c r="R3" s="258"/>
      <c r="S3" s="258"/>
      <c r="T3" s="258"/>
    </row>
    <row r="4" ht="16" customHeight="1" spans="2:20">
      <c r="B4" s="257"/>
      <c r="F4" s="283"/>
      <c r="G4" s="258"/>
      <c r="H4" s="258"/>
      <c r="I4" s="258"/>
      <c r="J4" s="258"/>
      <c r="K4" s="258"/>
      <c r="L4" s="258"/>
      <c r="M4" s="258"/>
      <c r="N4" s="285"/>
      <c r="O4" s="299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278"/>
      <c r="G5" s="258"/>
      <c r="H5" s="258"/>
      <c r="I5" s="258"/>
      <c r="J5" s="258"/>
      <c r="K5" s="258"/>
      <c r="L5" s="258"/>
      <c r="M5" s="258"/>
      <c r="N5" s="285"/>
      <c r="O5" s="296"/>
      <c r="P5" s="258"/>
      <c r="Q5" s="258"/>
      <c r="R5" s="258"/>
      <c r="S5" s="258"/>
      <c r="T5" s="258"/>
    </row>
    <row r="6" ht="16" customHeight="1" spans="2:20">
      <c r="B6" s="258" t="s">
        <v>60</v>
      </c>
      <c r="C6" s="258"/>
      <c r="D6" s="258"/>
      <c r="E6" s="258"/>
      <c r="F6" s="278"/>
      <c r="G6" s="258"/>
      <c r="H6" s="258"/>
      <c r="I6" s="258"/>
      <c r="J6" s="258"/>
      <c r="K6" s="258"/>
      <c r="L6" s="258"/>
      <c r="M6" s="258"/>
      <c r="N6" s="285"/>
      <c r="O6" s="296"/>
      <c r="P6" s="258"/>
      <c r="Q6" s="258"/>
      <c r="R6" s="258"/>
      <c r="S6" s="258"/>
      <c r="T6" s="258"/>
    </row>
    <row r="7" ht="16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27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8</v>
      </c>
      <c r="D10" s="262"/>
      <c r="E10" s="280"/>
      <c r="F10" s="278"/>
      <c r="G10" s="258"/>
      <c r="H10" s="258"/>
      <c r="I10" s="258"/>
      <c r="J10" s="258"/>
      <c r="K10" s="258"/>
      <c r="L10" s="295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263"/>
      <c r="D11" s="264"/>
      <c r="E11" s="281"/>
      <c r="F11" s="27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265" t="s">
        <v>46</v>
      </c>
      <c r="D12" s="265" t="s">
        <v>10</v>
      </c>
      <c r="E12" s="265" t="s">
        <v>11</v>
      </c>
      <c r="F12" s="282" t="s">
        <v>76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1" customHeight="1" spans="2:20">
      <c r="B13" s="258"/>
      <c r="C13" s="318" t="s">
        <v>62</v>
      </c>
      <c r="D13" s="318" t="s">
        <v>63</v>
      </c>
      <c r="E13" s="319" t="s">
        <v>14</v>
      </c>
      <c r="F13" s="283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21" customHeight="1" spans="2:20">
      <c r="B14" s="258"/>
      <c r="C14" s="257"/>
      <c r="D14" s="257"/>
      <c r="E14" s="257"/>
      <c r="F14" s="283"/>
      <c r="G14" s="258"/>
      <c r="H14" s="258"/>
      <c r="I14" s="258"/>
      <c r="J14" s="296"/>
      <c r="K14" s="297"/>
      <c r="L14" s="298"/>
      <c r="M14" s="258"/>
      <c r="N14" s="258"/>
      <c r="O14" s="258"/>
      <c r="P14" s="258"/>
      <c r="Q14" s="258"/>
      <c r="R14" s="258"/>
      <c r="S14" s="258"/>
      <c r="T14" s="258"/>
    </row>
    <row r="15" ht="24" customHeight="1" spans="2:20">
      <c r="B15" s="258" t="s">
        <v>64</v>
      </c>
      <c r="C15" s="258"/>
      <c r="D15" s="258"/>
      <c r="E15" s="258"/>
      <c r="F15" s="283"/>
      <c r="G15" s="258"/>
      <c r="H15" s="258"/>
      <c r="I15" s="258"/>
      <c r="J15" s="296"/>
      <c r="K15" s="297"/>
      <c r="L15" s="298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267" t="s">
        <v>65</v>
      </c>
      <c r="E16" s="267" t="s">
        <v>18</v>
      </c>
      <c r="F16" s="284" t="s">
        <v>66</v>
      </c>
      <c r="G16" s="285"/>
      <c r="H16" s="285"/>
      <c r="I16" s="285"/>
      <c r="J16" s="299"/>
      <c r="L16" s="298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287" t="s">
        <v>20</v>
      </c>
      <c r="G17" s="258"/>
      <c r="H17" s="258"/>
      <c r="I17" s="285"/>
      <c r="J17" s="299"/>
      <c r="K17" s="297"/>
      <c r="L17" s="298"/>
      <c r="M17" s="258"/>
      <c r="N17" s="285"/>
      <c r="O17" s="258"/>
      <c r="P17" s="258"/>
      <c r="Q17" s="258"/>
      <c r="R17" s="258"/>
      <c r="S17" s="258"/>
      <c r="T17" s="258"/>
    </row>
    <row r="18" ht="31" customHeight="1" spans="2:20">
      <c r="B18" s="270"/>
      <c r="C18" s="271"/>
      <c r="D18" s="271"/>
      <c r="E18" s="288"/>
      <c r="F18" s="283"/>
      <c r="G18" s="258"/>
      <c r="H18" s="258"/>
      <c r="I18" s="285"/>
      <c r="J18" s="299"/>
      <c r="K18" s="297"/>
      <c r="M18" s="258"/>
      <c r="N18" s="285"/>
      <c r="O18" s="258"/>
      <c r="P18" s="258"/>
      <c r="Q18" s="258"/>
      <c r="R18" s="258"/>
      <c r="S18" s="258"/>
      <c r="T18" s="258"/>
    </row>
    <row r="19" ht="31" customHeight="1" spans="2:20">
      <c r="B19" s="270"/>
      <c r="C19" s="271"/>
      <c r="D19" s="271"/>
      <c r="E19" s="288"/>
      <c r="F19" s="283"/>
      <c r="G19" s="258"/>
      <c r="H19" s="258"/>
      <c r="I19" s="285"/>
      <c r="J19" s="299"/>
      <c r="K19" s="297"/>
      <c r="L19" s="258"/>
      <c r="M19" s="258"/>
      <c r="N19" s="285"/>
      <c r="O19" s="258"/>
      <c r="P19" s="258"/>
      <c r="Q19" s="258"/>
      <c r="R19" s="258"/>
      <c r="S19" s="258"/>
      <c r="T19" s="258"/>
    </row>
    <row r="20" ht="31" customHeight="1" spans="2:20">
      <c r="B20" s="270"/>
      <c r="C20" s="271"/>
      <c r="D20" s="271"/>
      <c r="E20" s="288"/>
      <c r="F20" s="283"/>
      <c r="G20" s="258"/>
      <c r="H20" s="258"/>
      <c r="I20" s="300"/>
      <c r="L20" s="301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270"/>
      <c r="D21" s="270"/>
      <c r="E21" s="270"/>
      <c r="F21" s="283"/>
      <c r="G21" s="258"/>
      <c r="H21" s="258"/>
      <c r="I21" s="258"/>
      <c r="J21" s="258"/>
      <c r="K21" s="295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270"/>
      <c r="D22" s="270"/>
      <c r="E22" s="270"/>
      <c r="F22" s="278"/>
      <c r="G22" s="258"/>
      <c r="H22" s="258"/>
      <c r="I22" s="258"/>
      <c r="J22" s="296"/>
      <c r="K22" s="297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270"/>
      <c r="D23" s="270"/>
      <c r="E23" s="270"/>
      <c r="F23" s="278"/>
      <c r="G23" s="258"/>
      <c r="H23" s="258"/>
      <c r="I23" s="285"/>
      <c r="J23" s="258"/>
      <c r="K23" s="297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270"/>
      <c r="D24" s="270"/>
      <c r="E24" s="270"/>
      <c r="F24" s="278"/>
      <c r="G24" s="258"/>
      <c r="H24" s="258"/>
      <c r="I24" s="285"/>
      <c r="J24" s="258"/>
      <c r="K24" s="297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270"/>
      <c r="D25" s="270"/>
      <c r="E25" s="270"/>
      <c r="F25" s="278"/>
      <c r="G25" s="258"/>
      <c r="H25" s="258"/>
      <c r="I25" s="285"/>
      <c r="J25" s="258"/>
      <c r="K25" s="297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0"/>
      <c r="C26" s="270"/>
      <c r="D26" s="270"/>
      <c r="E26" s="270"/>
      <c r="F26" s="278"/>
      <c r="G26" s="258"/>
      <c r="H26" s="258"/>
      <c r="I26" s="285"/>
      <c r="J26" s="258"/>
      <c r="K26" s="297"/>
      <c r="L26" s="258"/>
      <c r="M26" s="258"/>
      <c r="N26" s="258"/>
      <c r="O26" s="258"/>
      <c r="P26" s="258"/>
      <c r="Q26" s="258"/>
      <c r="R26" s="258"/>
      <c r="S26" s="258"/>
      <c r="T26" s="258"/>
    </row>
    <row r="27" ht="31" customHeight="1" spans="2:20">
      <c r="B27" s="270"/>
      <c r="C27" s="270"/>
      <c r="D27" s="270"/>
      <c r="E27" s="270"/>
      <c r="F27" s="278"/>
      <c r="G27" s="258"/>
      <c r="H27" s="258"/>
      <c r="I27" s="300"/>
      <c r="K27" s="258"/>
      <c r="L27" s="302"/>
      <c r="M27" s="258"/>
      <c r="N27" s="258"/>
      <c r="O27" s="258"/>
      <c r="P27" s="258"/>
      <c r="Q27" s="258"/>
      <c r="R27" s="258"/>
      <c r="S27" s="258"/>
      <c r="T27" s="258"/>
    </row>
    <row r="28" ht="31" customHeight="1" spans="2:20">
      <c r="B28" s="272" t="s">
        <v>21</v>
      </c>
      <c r="C28" s="273" t="s">
        <v>67</v>
      </c>
      <c r="D28" s="273" t="s">
        <v>68</v>
      </c>
      <c r="E28" s="273" t="s">
        <v>69</v>
      </c>
      <c r="F28" s="289" t="s">
        <v>22</v>
      </c>
      <c r="G28" s="290"/>
      <c r="H28" s="290"/>
      <c r="I28" s="290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16" customHeight="1" spans="2:20">
      <c r="B29" s="94" t="s">
        <v>23</v>
      </c>
      <c r="C29" s="258"/>
      <c r="D29" s="258"/>
      <c r="E29" s="258"/>
      <c r="F29" s="291" t="s">
        <v>24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16" customHeight="1" spans="2:20">
      <c r="B30" s="274" t="s">
        <v>25</v>
      </c>
      <c r="C30" s="275"/>
      <c r="D30" s="275"/>
      <c r="E30" s="275"/>
      <c r="F30" s="292" t="s">
        <v>26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70</v>
      </c>
      <c r="C31" s="275"/>
      <c r="D31" s="275"/>
      <c r="E31" s="275"/>
      <c r="F31" s="293" t="s">
        <v>49</v>
      </c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71</v>
      </c>
      <c r="C32" s="275"/>
      <c r="D32" s="275"/>
      <c r="E32" s="275"/>
      <c r="F32" s="293" t="s">
        <v>30</v>
      </c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275" t="s">
        <v>72</v>
      </c>
      <c r="C33" s="275"/>
      <c r="D33" s="275"/>
      <c r="E33" s="275"/>
      <c r="F33" s="293" t="s">
        <v>32</v>
      </c>
      <c r="G33" s="258"/>
      <c r="H33" s="258"/>
      <c r="I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275" t="s">
        <v>73</v>
      </c>
      <c r="C34" s="275"/>
      <c r="D34" s="275"/>
      <c r="E34" s="275"/>
      <c r="F34" s="293" t="s">
        <v>34</v>
      </c>
      <c r="G34" s="258"/>
      <c r="H34" s="258"/>
      <c r="I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74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75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294"/>
      <c r="F37" s="283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27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27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27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27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27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27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27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27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27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27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27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27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27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27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27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27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27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27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27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27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27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27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27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27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27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27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27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27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27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27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27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27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27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27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27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27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27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27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27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27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27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27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27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27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27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27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27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27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27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27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27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27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27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27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27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27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27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27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27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27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27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27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27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27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27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27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27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27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27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27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27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27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27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27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27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27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27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27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27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27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27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27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27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27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27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27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27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27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27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27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27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27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27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27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27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27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27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27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27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27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27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27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27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27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27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27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27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27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27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27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27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27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27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27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27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27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27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27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27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27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27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27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27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27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27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27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27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27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27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27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27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27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27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27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27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27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27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27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27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27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27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27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27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27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27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27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27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27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27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27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27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27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27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27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27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27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27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27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27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27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27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27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27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tabSelected="1" workbookViewId="0">
      <selection activeCell="F29" sqref="F29"/>
    </sheetView>
  </sheetViews>
  <sheetFormatPr defaultColWidth="14" defaultRowHeight="15.2"/>
  <cols>
    <col min="1" max="1" width="6" customWidth="1"/>
    <col min="2" max="2" width="42" customWidth="1"/>
    <col min="3" max="3" width="21" customWidth="1"/>
    <col min="4" max="4" width="22" customWidth="1"/>
    <col min="5" max="5" width="20" customWidth="1"/>
    <col min="6" max="6" width="71" customWidth="1"/>
    <col min="7" max="8" width="15" customWidth="1"/>
    <col min="9" max="9" width="22" customWidth="1"/>
    <col min="10" max="10" width="17" customWidth="1"/>
    <col min="11" max="11" width="15" customWidth="1"/>
    <col min="12" max="12" width="14" customWidth="1"/>
    <col min="13" max="14" width="11" customWidth="1"/>
    <col min="15" max="15" width="16" customWidth="1"/>
    <col min="16" max="20" width="11" customWidth="1"/>
  </cols>
  <sheetData>
    <row r="1" ht="36" customHeight="1" spans="2:20">
      <c r="B1" s="256" t="s">
        <v>56</v>
      </c>
      <c r="F1" s="276" t="s">
        <v>57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6" customHeight="1" spans="2:20">
      <c r="B2" s="257" t="s">
        <v>58</v>
      </c>
      <c r="F2" s="276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6" customHeight="1" spans="2:20">
      <c r="B3" s="257" t="s">
        <v>77</v>
      </c>
      <c r="F3" s="276"/>
      <c r="G3" s="258"/>
      <c r="H3" s="258"/>
      <c r="I3" s="258"/>
      <c r="J3" s="258"/>
      <c r="K3" s="258"/>
      <c r="L3" s="258"/>
      <c r="M3" s="258"/>
      <c r="N3" s="285"/>
      <c r="O3" s="316"/>
      <c r="P3" s="258"/>
      <c r="Q3" s="258"/>
      <c r="R3" s="258"/>
      <c r="S3" s="258"/>
      <c r="T3" s="258"/>
    </row>
    <row r="4" ht="16" customHeight="1" spans="2:20">
      <c r="B4" s="257"/>
      <c r="F4" s="276"/>
      <c r="G4" s="258"/>
      <c r="H4" s="258"/>
      <c r="I4" s="258"/>
      <c r="J4" s="258"/>
      <c r="K4" s="258"/>
      <c r="L4" s="258"/>
      <c r="M4" s="258"/>
      <c r="N4" s="285"/>
      <c r="O4" s="316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278"/>
      <c r="G5" s="258"/>
      <c r="H5" s="258"/>
      <c r="I5" s="258"/>
      <c r="J5" s="258"/>
      <c r="K5" s="258"/>
      <c r="L5" s="258"/>
      <c r="M5" s="258"/>
      <c r="N5" s="285"/>
      <c r="O5" s="313"/>
      <c r="P5" s="258"/>
      <c r="Q5" s="258"/>
      <c r="R5" s="258"/>
      <c r="S5" s="258"/>
      <c r="T5" s="258"/>
    </row>
    <row r="6" ht="16" customHeight="1" spans="2:20">
      <c r="B6" s="258" t="s">
        <v>60</v>
      </c>
      <c r="C6" s="258"/>
      <c r="D6" s="258"/>
      <c r="E6" s="258"/>
      <c r="F6" s="278"/>
      <c r="G6" s="258"/>
      <c r="H6" s="258"/>
      <c r="I6" s="258"/>
      <c r="J6" s="258"/>
      <c r="K6" s="258"/>
      <c r="L6" s="258"/>
      <c r="M6" s="258"/>
      <c r="N6" s="285"/>
      <c r="O6" s="313"/>
      <c r="P6" s="258"/>
      <c r="Q6" s="258"/>
      <c r="R6" s="258"/>
      <c r="S6" s="258"/>
      <c r="T6" s="258"/>
    </row>
    <row r="7" ht="16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16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27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8</v>
      </c>
      <c r="D10" s="303"/>
      <c r="E10" s="308"/>
      <c r="F10" s="278"/>
      <c r="G10" s="258"/>
      <c r="H10" s="258"/>
      <c r="I10" s="258"/>
      <c r="J10" s="258"/>
      <c r="K10" s="258"/>
      <c r="L10" s="295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304"/>
      <c r="D11" s="305"/>
      <c r="E11" s="309"/>
      <c r="F11" s="27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306" t="s">
        <v>9</v>
      </c>
      <c r="D12" s="306" t="s">
        <v>10</v>
      </c>
      <c r="E12" s="306" t="s">
        <v>11</v>
      </c>
      <c r="F12" s="282" t="s">
        <v>78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1" customHeight="1" spans="2:20">
      <c r="B13" s="258"/>
      <c r="C13" s="266" t="s">
        <v>62</v>
      </c>
      <c r="D13" s="266" t="s">
        <v>63</v>
      </c>
      <c r="E13" s="266" t="s">
        <v>14</v>
      </c>
      <c r="F13" s="283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21" customHeight="1" spans="2:20">
      <c r="B14" s="258"/>
      <c r="C14" s="257"/>
      <c r="D14" s="257"/>
      <c r="E14" s="257"/>
      <c r="F14" s="283"/>
      <c r="G14" s="258"/>
      <c r="H14" s="258"/>
      <c r="I14" s="258"/>
      <c r="J14" s="313"/>
      <c r="K14" s="314"/>
      <c r="L14" s="315"/>
      <c r="M14" s="258"/>
      <c r="N14" s="258"/>
      <c r="O14" s="258"/>
      <c r="P14" s="258"/>
      <c r="Q14" s="258"/>
      <c r="R14" s="258"/>
      <c r="S14" s="258"/>
      <c r="T14" s="258"/>
    </row>
    <row r="15" ht="24" customHeight="1" spans="2:20">
      <c r="B15" s="258" t="s">
        <v>64</v>
      </c>
      <c r="C15" s="258"/>
      <c r="D15" s="258"/>
      <c r="E15" s="258"/>
      <c r="F15" s="283"/>
      <c r="G15" s="258"/>
      <c r="H15" s="258"/>
      <c r="I15" s="258"/>
      <c r="J15" s="313"/>
      <c r="K15" s="314"/>
      <c r="L15" s="315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307" t="s">
        <v>79</v>
      </c>
      <c r="E16" s="267" t="s">
        <v>18</v>
      </c>
      <c r="F16" s="284" t="s">
        <v>80</v>
      </c>
      <c r="G16" s="285"/>
      <c r="H16" s="285"/>
      <c r="I16" s="285"/>
      <c r="J16" s="316"/>
      <c r="L16" s="315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287" t="s">
        <v>81</v>
      </c>
      <c r="G17" s="258"/>
      <c r="H17" s="258"/>
      <c r="I17" s="285"/>
      <c r="J17" s="316"/>
      <c r="K17" s="314"/>
      <c r="L17" s="315"/>
      <c r="M17" s="258"/>
      <c r="N17" s="285"/>
      <c r="O17" s="258"/>
      <c r="P17" s="258"/>
      <c r="Q17" s="258"/>
      <c r="R17" s="258"/>
      <c r="S17" s="258"/>
      <c r="T17" s="258"/>
    </row>
    <row r="18" ht="31" customHeight="1" spans="2:20">
      <c r="B18" s="270"/>
      <c r="C18" s="271"/>
      <c r="D18" s="271"/>
      <c r="E18" s="288"/>
      <c r="F18" s="283"/>
      <c r="G18" s="258"/>
      <c r="H18" s="258"/>
      <c r="I18" s="285"/>
      <c r="J18" s="316"/>
      <c r="K18" s="314"/>
      <c r="M18" s="258"/>
      <c r="N18" s="285"/>
      <c r="O18" s="258"/>
      <c r="P18" s="258"/>
      <c r="Q18" s="258"/>
      <c r="R18" s="258"/>
      <c r="S18" s="258"/>
      <c r="T18" s="258"/>
    </row>
    <row r="19" ht="31" customHeight="1" spans="2:20">
      <c r="B19" s="270"/>
      <c r="C19" s="271"/>
      <c r="D19" s="271"/>
      <c r="E19" s="288"/>
      <c r="F19" s="283"/>
      <c r="G19" s="258"/>
      <c r="H19" s="258"/>
      <c r="I19" s="285"/>
      <c r="J19" s="316"/>
      <c r="K19" s="314"/>
      <c r="L19" s="258"/>
      <c r="M19" s="258"/>
      <c r="N19" s="285"/>
      <c r="O19" s="258"/>
      <c r="P19" s="258"/>
      <c r="Q19" s="258"/>
      <c r="R19" s="258"/>
      <c r="S19" s="258"/>
      <c r="T19" s="258"/>
    </row>
    <row r="20" ht="31" customHeight="1" spans="2:20">
      <c r="B20" s="270"/>
      <c r="C20" s="271"/>
      <c r="D20" s="271"/>
      <c r="E20" s="288"/>
      <c r="F20" s="283"/>
      <c r="G20" s="258"/>
      <c r="H20" s="258"/>
      <c r="I20" s="300"/>
      <c r="L20" s="317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270"/>
      <c r="D21" s="270"/>
      <c r="E21" s="270"/>
      <c r="F21" s="283"/>
      <c r="G21" s="258"/>
      <c r="H21" s="258"/>
      <c r="I21" s="258"/>
      <c r="J21" s="258"/>
      <c r="K21" s="295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270"/>
      <c r="D22" s="270"/>
      <c r="E22" s="270"/>
      <c r="F22" s="278"/>
      <c r="G22" s="258"/>
      <c r="H22" s="258"/>
      <c r="I22" s="258"/>
      <c r="J22" s="313"/>
      <c r="K22" s="314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270"/>
      <c r="D23" s="270"/>
      <c r="E23" s="270"/>
      <c r="F23" s="278"/>
      <c r="G23" s="258"/>
      <c r="H23" s="258"/>
      <c r="I23" s="285"/>
      <c r="J23" s="258"/>
      <c r="K23" s="314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270"/>
      <c r="D24" s="270"/>
      <c r="E24" s="270"/>
      <c r="F24" s="278"/>
      <c r="G24" s="258"/>
      <c r="H24" s="258"/>
      <c r="I24" s="285"/>
      <c r="J24" s="258"/>
      <c r="K24" s="314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270"/>
      <c r="D25" s="270"/>
      <c r="E25" s="270"/>
      <c r="F25" s="278"/>
      <c r="G25" s="258"/>
      <c r="H25" s="258"/>
      <c r="I25" s="285"/>
      <c r="J25" s="258"/>
      <c r="K25" s="314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0"/>
      <c r="C26" s="270"/>
      <c r="D26" s="270"/>
      <c r="E26" s="270"/>
      <c r="F26" s="278"/>
      <c r="G26" s="258"/>
      <c r="H26" s="258"/>
      <c r="I26" s="285"/>
      <c r="J26" s="258"/>
      <c r="K26" s="314"/>
      <c r="L26" s="258"/>
      <c r="M26" s="258"/>
      <c r="N26" s="258"/>
      <c r="O26" s="258"/>
      <c r="P26" s="258"/>
      <c r="Q26" s="258"/>
      <c r="R26" s="258"/>
      <c r="S26" s="258"/>
      <c r="T26" s="258"/>
    </row>
    <row r="27" ht="31" customHeight="1" spans="2:20">
      <c r="B27" s="270"/>
      <c r="C27" s="270"/>
      <c r="D27" s="270"/>
      <c r="E27" s="270"/>
      <c r="F27" s="278"/>
      <c r="G27" s="258"/>
      <c r="H27" s="258"/>
      <c r="I27" s="300"/>
      <c r="K27" s="258"/>
      <c r="L27" s="302"/>
      <c r="M27" s="258"/>
      <c r="N27" s="258"/>
      <c r="O27" s="258"/>
      <c r="P27" s="258"/>
      <c r="Q27" s="258"/>
      <c r="R27" s="258"/>
      <c r="S27" s="258"/>
      <c r="T27" s="258"/>
    </row>
    <row r="28" ht="31" customHeight="1" spans="2:20">
      <c r="B28" s="272" t="s">
        <v>21</v>
      </c>
      <c r="C28" s="269">
        <v>15</v>
      </c>
      <c r="D28" s="269">
        <f>ROUND(C28*13%,2)</f>
        <v>1.95</v>
      </c>
      <c r="E28" s="286">
        <f>C28+D28</f>
        <v>16.95</v>
      </c>
      <c r="F28" s="310" t="s">
        <v>82</v>
      </c>
      <c r="G28" s="290"/>
      <c r="H28" s="290"/>
      <c r="I28" s="290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26" customHeight="1" spans="2:20">
      <c r="B29" s="94" t="s">
        <v>23</v>
      </c>
      <c r="C29" s="258"/>
      <c r="D29" s="258"/>
      <c r="E29" s="258"/>
      <c r="F29" s="311" t="s">
        <v>24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16" customHeight="1" spans="2:20">
      <c r="B30" s="274" t="s">
        <v>25</v>
      </c>
      <c r="C30" s="275"/>
      <c r="D30" s="275"/>
      <c r="E30" s="275"/>
      <c r="F30" s="292" t="s">
        <v>26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70</v>
      </c>
      <c r="C31" s="275"/>
      <c r="D31" s="275"/>
      <c r="E31" s="275"/>
      <c r="F31" s="293" t="s">
        <v>49</v>
      </c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71</v>
      </c>
      <c r="C32" s="275"/>
      <c r="D32" s="275"/>
      <c r="E32" s="275"/>
      <c r="F32" s="293" t="s">
        <v>30</v>
      </c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275" t="s">
        <v>72</v>
      </c>
      <c r="C33" s="275"/>
      <c r="D33" s="275"/>
      <c r="E33" s="275"/>
      <c r="F33" s="293" t="s">
        <v>32</v>
      </c>
      <c r="G33" s="258"/>
      <c r="H33" s="258"/>
      <c r="I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275" t="s">
        <v>73</v>
      </c>
      <c r="C34" s="275"/>
      <c r="D34" s="275"/>
      <c r="E34" s="275"/>
      <c r="F34" s="293" t="s">
        <v>34</v>
      </c>
      <c r="G34" s="258"/>
      <c r="H34" s="258"/>
      <c r="I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74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75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312"/>
      <c r="F37" s="283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27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27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27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27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27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27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27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27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27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27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27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27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27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27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27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27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27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27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27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27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27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27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27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27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27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27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27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27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27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27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27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27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27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27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27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27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27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27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27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27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27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27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27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27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27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27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27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27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27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27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27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27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27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27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27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27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27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27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27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27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27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27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27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27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27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27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27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27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27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27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27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27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27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27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27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27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27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27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27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27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27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27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27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27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27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27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27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27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27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27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27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27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27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27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27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27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27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27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27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27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27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27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27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27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27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27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27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27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27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27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27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27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27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27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27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27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27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27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27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27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27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27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27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27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27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27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27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27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27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27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27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27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27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27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27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27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27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27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27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27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27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27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27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27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27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27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27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27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27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27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27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27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27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27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27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27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27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27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27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27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27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27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27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workbookViewId="0">
      <selection activeCell="A1" sqref="A1"/>
    </sheetView>
  </sheetViews>
  <sheetFormatPr defaultColWidth="14" defaultRowHeight="15.2"/>
  <cols>
    <col min="1" max="1" width="6" customWidth="1"/>
    <col min="2" max="2" width="42" customWidth="1"/>
    <col min="3" max="3" width="21" customWidth="1"/>
    <col min="4" max="4" width="22" customWidth="1"/>
    <col min="5" max="5" width="20" customWidth="1"/>
    <col min="6" max="6" width="71" customWidth="1"/>
    <col min="7" max="8" width="15" customWidth="1"/>
    <col min="9" max="9" width="22" customWidth="1"/>
    <col min="10" max="10" width="17" customWidth="1"/>
    <col min="11" max="11" width="15" customWidth="1"/>
    <col min="12" max="12" width="14" customWidth="1"/>
    <col min="13" max="14" width="11" customWidth="1"/>
    <col min="15" max="15" width="16" customWidth="1"/>
    <col min="16" max="20" width="11" customWidth="1"/>
  </cols>
  <sheetData>
    <row r="1" ht="36" customHeight="1" spans="2:20">
      <c r="B1" s="256" t="s">
        <v>56</v>
      </c>
      <c r="F1" s="276" t="s">
        <v>57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</row>
    <row r="2" ht="16" customHeight="1" spans="2:20">
      <c r="B2" s="257" t="s">
        <v>58</v>
      </c>
      <c r="F2" s="276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</row>
    <row r="3" ht="16" customHeight="1" spans="2:20">
      <c r="B3" s="257" t="s">
        <v>77</v>
      </c>
      <c r="F3" s="276"/>
      <c r="G3" s="258"/>
      <c r="H3" s="258"/>
      <c r="I3" s="258"/>
      <c r="J3" s="258"/>
      <c r="K3" s="258"/>
      <c r="L3" s="258"/>
      <c r="M3" s="258"/>
      <c r="N3" s="285"/>
      <c r="O3" s="299"/>
      <c r="P3" s="258"/>
      <c r="Q3" s="258"/>
      <c r="R3" s="258"/>
      <c r="S3" s="258"/>
      <c r="T3" s="258"/>
    </row>
    <row r="4" ht="16" customHeight="1" spans="2:20">
      <c r="B4" s="257"/>
      <c r="F4" s="276"/>
      <c r="G4" s="258"/>
      <c r="H4" s="277"/>
      <c r="I4" s="258"/>
      <c r="J4" s="258"/>
      <c r="K4" s="258"/>
      <c r="L4" s="258"/>
      <c r="M4" s="258"/>
      <c r="N4" s="285"/>
      <c r="O4" s="299"/>
      <c r="P4" s="258"/>
      <c r="Q4" s="258"/>
      <c r="R4" s="258"/>
      <c r="S4" s="258"/>
      <c r="T4" s="258"/>
    </row>
    <row r="5" ht="16" customHeight="1" spans="2:20">
      <c r="B5" s="258"/>
      <c r="C5" s="258"/>
      <c r="D5" s="258"/>
      <c r="E5" s="258"/>
      <c r="F5" s="278"/>
      <c r="G5" s="258"/>
      <c r="H5" s="258"/>
      <c r="I5" s="258"/>
      <c r="J5" s="258"/>
      <c r="K5" s="258"/>
      <c r="L5" s="258"/>
      <c r="M5" s="258"/>
      <c r="N5" s="285"/>
      <c r="O5" s="296"/>
      <c r="P5" s="258"/>
      <c r="Q5" s="258"/>
      <c r="R5" s="258"/>
      <c r="S5" s="258"/>
      <c r="T5" s="258"/>
    </row>
    <row r="6" ht="16" customHeight="1" spans="2:20">
      <c r="B6" s="258" t="s">
        <v>60</v>
      </c>
      <c r="C6" s="258"/>
      <c r="D6" s="258"/>
      <c r="E6" s="258"/>
      <c r="F6" s="278"/>
      <c r="G6" s="258"/>
      <c r="H6" s="258"/>
      <c r="I6" s="258"/>
      <c r="J6" s="258"/>
      <c r="K6" s="258"/>
      <c r="L6" s="258"/>
      <c r="M6" s="258"/>
      <c r="N6" s="285"/>
      <c r="O6" s="296"/>
      <c r="P6" s="258"/>
      <c r="Q6" s="258"/>
      <c r="R6" s="258"/>
      <c r="S6" s="258"/>
      <c r="T6" s="258"/>
    </row>
    <row r="7" ht="27" customHeight="1" spans="2:20">
      <c r="B7" s="259" t="s">
        <v>43</v>
      </c>
      <c r="C7" s="258"/>
      <c r="D7" s="258"/>
      <c r="E7" s="258"/>
      <c r="F7" s="279" t="s">
        <v>6</v>
      </c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</row>
    <row r="8" ht="27" customHeight="1" spans="2:20">
      <c r="B8" s="260" t="s">
        <v>44</v>
      </c>
      <c r="C8" s="258"/>
      <c r="D8" s="258"/>
      <c r="E8" s="258"/>
      <c r="F8" s="279" t="s">
        <v>7</v>
      </c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</row>
    <row r="9" ht="16" customHeight="1" spans="2:20">
      <c r="B9" s="258"/>
      <c r="C9" s="258"/>
      <c r="D9" s="258"/>
      <c r="E9" s="258"/>
      <c r="F9" s="27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</row>
    <row r="10" ht="16" customHeight="1" spans="2:20">
      <c r="B10" s="258"/>
      <c r="C10" s="261" t="s">
        <v>8</v>
      </c>
      <c r="D10" s="262"/>
      <c r="E10" s="280"/>
      <c r="F10" s="278"/>
      <c r="G10" s="258"/>
      <c r="H10" s="258"/>
      <c r="I10" s="258"/>
      <c r="J10" s="258"/>
      <c r="K10" s="258"/>
      <c r="L10" s="295"/>
      <c r="M10" s="258"/>
      <c r="N10" s="258"/>
      <c r="O10" s="258"/>
      <c r="P10" s="258"/>
      <c r="Q10" s="258"/>
      <c r="R10" s="258"/>
      <c r="S10" s="258"/>
      <c r="T10" s="258"/>
    </row>
    <row r="11" ht="16" customHeight="1" spans="2:20">
      <c r="B11" s="258"/>
      <c r="C11" s="263"/>
      <c r="D11" s="264"/>
      <c r="E11" s="281"/>
      <c r="F11" s="27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</row>
    <row r="12" ht="20" customHeight="1" spans="2:20">
      <c r="B12" s="258"/>
      <c r="C12" s="265" t="s">
        <v>46</v>
      </c>
      <c r="D12" s="265" t="s">
        <v>10</v>
      </c>
      <c r="E12" s="265" t="s">
        <v>11</v>
      </c>
      <c r="F12" s="282" t="s">
        <v>83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</row>
    <row r="13" ht="21" customHeight="1" spans="2:20">
      <c r="B13" s="258"/>
      <c r="C13" s="266" t="s">
        <v>62</v>
      </c>
      <c r="D13" s="266" t="s">
        <v>63</v>
      </c>
      <c r="E13" s="266" t="s">
        <v>14</v>
      </c>
      <c r="F13" s="283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</row>
    <row r="14" ht="21" customHeight="1" spans="2:20">
      <c r="B14" s="258"/>
      <c r="C14" s="257"/>
      <c r="D14" s="257"/>
      <c r="E14" s="257"/>
      <c r="F14" s="283"/>
      <c r="G14" s="258"/>
      <c r="H14" s="258"/>
      <c r="I14" s="258"/>
      <c r="J14" s="296"/>
      <c r="K14" s="297"/>
      <c r="L14" s="298"/>
      <c r="M14" s="258"/>
      <c r="N14" s="258"/>
      <c r="O14" s="258"/>
      <c r="P14" s="258"/>
      <c r="Q14" s="258"/>
      <c r="R14" s="258"/>
      <c r="S14" s="258"/>
      <c r="T14" s="258"/>
    </row>
    <row r="15" ht="24" customHeight="1" spans="2:20">
      <c r="B15" s="258" t="s">
        <v>64</v>
      </c>
      <c r="C15" s="258"/>
      <c r="D15" s="258"/>
      <c r="E15" s="258"/>
      <c r="F15" s="283"/>
      <c r="G15" s="258"/>
      <c r="H15" s="258"/>
      <c r="I15" s="258"/>
      <c r="J15" s="296"/>
      <c r="K15" s="297"/>
      <c r="L15" s="298"/>
      <c r="M15" s="258"/>
      <c r="N15" s="258"/>
      <c r="O15" s="258"/>
      <c r="P15" s="258"/>
      <c r="Q15" s="258"/>
      <c r="R15" s="258"/>
      <c r="S15" s="258"/>
      <c r="T15" s="258"/>
    </row>
    <row r="16" ht="31" customHeight="1" spans="2:20">
      <c r="B16" s="267" t="s">
        <v>15</v>
      </c>
      <c r="C16" s="267" t="s">
        <v>16</v>
      </c>
      <c r="D16" s="267" t="s">
        <v>84</v>
      </c>
      <c r="E16" s="267" t="s">
        <v>18</v>
      </c>
      <c r="F16" s="284" t="s">
        <v>80</v>
      </c>
      <c r="G16" s="285"/>
      <c r="H16" s="285"/>
      <c r="I16" s="285"/>
      <c r="J16" s="299"/>
      <c r="L16" s="298"/>
      <c r="M16" s="285"/>
      <c r="N16" s="285"/>
      <c r="O16" s="285"/>
      <c r="P16" s="285"/>
      <c r="Q16" s="285"/>
      <c r="R16" s="285"/>
      <c r="S16" s="285"/>
      <c r="T16" s="285"/>
    </row>
    <row r="17" ht="31" customHeight="1" spans="2:20">
      <c r="B17" s="268"/>
      <c r="C17" s="269">
        <v>15</v>
      </c>
      <c r="D17" s="269">
        <f>ROUND(C17*13%,2)</f>
        <v>1.95</v>
      </c>
      <c r="E17" s="286">
        <f>C17+D17</f>
        <v>16.95</v>
      </c>
      <c r="F17" s="287" t="s">
        <v>20</v>
      </c>
      <c r="G17" s="258"/>
      <c r="H17" s="258"/>
      <c r="I17" s="285"/>
      <c r="J17" s="299"/>
      <c r="K17" s="297"/>
      <c r="L17" s="298"/>
      <c r="M17" s="258"/>
      <c r="N17" s="285"/>
      <c r="O17" s="258"/>
      <c r="P17" s="258"/>
      <c r="Q17" s="258"/>
      <c r="R17" s="258"/>
      <c r="S17" s="258"/>
      <c r="T17" s="258"/>
    </row>
    <row r="18" ht="31" customHeight="1" spans="2:20">
      <c r="B18" s="270"/>
      <c r="C18" s="271"/>
      <c r="D18" s="271"/>
      <c r="E18" s="288"/>
      <c r="F18" s="283"/>
      <c r="G18" s="258"/>
      <c r="H18" s="258"/>
      <c r="I18" s="285"/>
      <c r="J18" s="299"/>
      <c r="K18" s="297"/>
      <c r="M18" s="258"/>
      <c r="N18" s="285"/>
      <c r="O18" s="258"/>
      <c r="P18" s="258"/>
      <c r="Q18" s="258"/>
      <c r="R18" s="258"/>
      <c r="S18" s="258"/>
      <c r="T18" s="258"/>
    </row>
    <row r="19" ht="31" customHeight="1" spans="2:20">
      <c r="B19" s="270"/>
      <c r="C19" s="271"/>
      <c r="D19" s="271"/>
      <c r="E19" s="288"/>
      <c r="F19" s="283"/>
      <c r="G19" s="258"/>
      <c r="H19" s="258"/>
      <c r="I19" s="285"/>
      <c r="J19" s="299"/>
      <c r="K19" s="297"/>
      <c r="L19" s="258"/>
      <c r="M19" s="258"/>
      <c r="N19" s="285"/>
      <c r="O19" s="258"/>
      <c r="P19" s="258"/>
      <c r="Q19" s="258"/>
      <c r="R19" s="258"/>
      <c r="S19" s="258"/>
      <c r="T19" s="258"/>
    </row>
    <row r="20" ht="31" customHeight="1" spans="2:20">
      <c r="B20" s="270"/>
      <c r="C20" s="271"/>
      <c r="D20" s="271"/>
      <c r="E20" s="288"/>
      <c r="F20" s="283"/>
      <c r="G20" s="258"/>
      <c r="H20" s="258"/>
      <c r="I20" s="300"/>
      <c r="L20" s="301"/>
      <c r="M20" s="258"/>
      <c r="N20" s="258"/>
      <c r="O20" s="258"/>
      <c r="P20" s="258"/>
      <c r="Q20" s="258"/>
      <c r="R20" s="258"/>
      <c r="S20" s="258"/>
      <c r="T20" s="258"/>
    </row>
    <row r="21" ht="31" customHeight="1" spans="2:20">
      <c r="B21" s="270"/>
      <c r="C21" s="270"/>
      <c r="D21" s="270"/>
      <c r="E21" s="270"/>
      <c r="F21" s="283"/>
      <c r="G21" s="258"/>
      <c r="H21" s="258"/>
      <c r="I21" s="258"/>
      <c r="J21" s="258"/>
      <c r="K21" s="295"/>
      <c r="L21" s="258"/>
      <c r="M21" s="258"/>
      <c r="N21" s="258"/>
      <c r="O21" s="258"/>
      <c r="P21" s="258"/>
      <c r="Q21" s="258"/>
      <c r="R21" s="258"/>
      <c r="S21" s="258"/>
      <c r="T21" s="258"/>
    </row>
    <row r="22" ht="31" customHeight="1" spans="2:20">
      <c r="B22" s="270"/>
      <c r="C22" s="270"/>
      <c r="D22" s="270"/>
      <c r="E22" s="270"/>
      <c r="F22" s="278"/>
      <c r="G22" s="258"/>
      <c r="H22" s="258"/>
      <c r="I22" s="258"/>
      <c r="J22" s="296"/>
      <c r="K22" s="297"/>
      <c r="L22" s="258"/>
      <c r="M22" s="258"/>
      <c r="N22" s="258"/>
      <c r="O22" s="258"/>
      <c r="P22" s="258"/>
      <c r="Q22" s="258"/>
      <c r="R22" s="258"/>
      <c r="S22" s="258"/>
      <c r="T22" s="258"/>
    </row>
    <row r="23" ht="31" customHeight="1" spans="2:20">
      <c r="B23" s="270"/>
      <c r="C23" s="270"/>
      <c r="D23" s="270"/>
      <c r="E23" s="270"/>
      <c r="F23" s="278"/>
      <c r="G23" s="258"/>
      <c r="H23" s="258"/>
      <c r="I23" s="285"/>
      <c r="J23" s="258"/>
      <c r="K23" s="297"/>
      <c r="L23" s="258"/>
      <c r="M23" s="258"/>
      <c r="N23" s="258"/>
      <c r="O23" s="258"/>
      <c r="P23" s="258"/>
      <c r="Q23" s="258"/>
      <c r="R23" s="258"/>
      <c r="S23" s="258"/>
      <c r="T23" s="258"/>
    </row>
    <row r="24" ht="31" customHeight="1" spans="2:20">
      <c r="B24" s="270"/>
      <c r="C24" s="270"/>
      <c r="D24" s="270"/>
      <c r="E24" s="270"/>
      <c r="F24" s="278"/>
      <c r="G24" s="258"/>
      <c r="H24" s="258"/>
      <c r="I24" s="285"/>
      <c r="J24" s="258"/>
      <c r="K24" s="297"/>
      <c r="L24" s="258"/>
      <c r="M24" s="258"/>
      <c r="N24" s="258"/>
      <c r="O24" s="258"/>
      <c r="P24" s="258"/>
      <c r="Q24" s="258"/>
      <c r="R24" s="258"/>
      <c r="S24" s="258"/>
      <c r="T24" s="258"/>
    </row>
    <row r="25" ht="31" customHeight="1" spans="2:20">
      <c r="B25" s="270"/>
      <c r="C25" s="270"/>
      <c r="D25" s="270"/>
      <c r="E25" s="270"/>
      <c r="F25" s="278"/>
      <c r="G25" s="258"/>
      <c r="H25" s="258"/>
      <c r="I25" s="285"/>
      <c r="J25" s="258"/>
      <c r="K25" s="297"/>
      <c r="L25" s="258"/>
      <c r="M25" s="258"/>
      <c r="N25" s="258"/>
      <c r="O25" s="258"/>
      <c r="P25" s="258"/>
      <c r="Q25" s="258"/>
      <c r="R25" s="258"/>
      <c r="S25" s="258"/>
      <c r="T25" s="258"/>
    </row>
    <row r="26" ht="31" customHeight="1" spans="2:20">
      <c r="B26" s="270"/>
      <c r="C26" s="270"/>
      <c r="D26" s="270"/>
      <c r="E26" s="270"/>
      <c r="F26" s="278"/>
      <c r="G26" s="258"/>
      <c r="H26" s="258"/>
      <c r="I26" s="285"/>
      <c r="J26" s="258"/>
      <c r="K26" s="297"/>
      <c r="L26" s="258"/>
      <c r="M26" s="258"/>
      <c r="N26" s="258"/>
      <c r="O26" s="258"/>
      <c r="P26" s="258"/>
      <c r="Q26" s="258"/>
      <c r="R26" s="258"/>
      <c r="S26" s="258"/>
      <c r="T26" s="258"/>
    </row>
    <row r="27" ht="31" customHeight="1" spans="2:20">
      <c r="B27" s="270"/>
      <c r="C27" s="270"/>
      <c r="D27" s="270"/>
      <c r="E27" s="270"/>
      <c r="F27" s="278"/>
      <c r="G27" s="258"/>
      <c r="H27" s="258"/>
      <c r="I27" s="300"/>
      <c r="K27" s="258"/>
      <c r="L27" s="302"/>
      <c r="M27" s="258"/>
      <c r="N27" s="258"/>
      <c r="O27" s="258"/>
      <c r="P27" s="258"/>
      <c r="Q27" s="258"/>
      <c r="R27" s="258"/>
      <c r="S27" s="258"/>
      <c r="T27" s="258"/>
    </row>
    <row r="28" ht="31" customHeight="1" spans="2:20">
      <c r="B28" s="272" t="s">
        <v>21</v>
      </c>
      <c r="C28" s="273" t="s">
        <v>67</v>
      </c>
      <c r="D28" s="273" t="s">
        <v>85</v>
      </c>
      <c r="E28" s="273" t="s">
        <v>86</v>
      </c>
      <c r="F28" s="289" t="s">
        <v>22</v>
      </c>
      <c r="G28" s="290"/>
      <c r="H28" s="290"/>
      <c r="I28" s="290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</row>
    <row r="29" ht="26" customHeight="1" spans="2:20">
      <c r="B29" s="94" t="s">
        <v>23</v>
      </c>
      <c r="C29" s="258"/>
      <c r="D29" s="258"/>
      <c r="E29" s="258"/>
      <c r="F29" s="291" t="s">
        <v>24</v>
      </c>
      <c r="G29" s="258"/>
      <c r="H29" s="258"/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</row>
    <row r="30" ht="16" customHeight="1" spans="2:20">
      <c r="B30" s="274" t="s">
        <v>25</v>
      </c>
      <c r="C30" s="275"/>
      <c r="D30" s="275"/>
      <c r="E30" s="275"/>
      <c r="F30" s="292" t="s">
        <v>26</v>
      </c>
      <c r="G30" s="258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</row>
    <row r="31" ht="22" customHeight="1" spans="2:20">
      <c r="B31" s="275" t="s">
        <v>70</v>
      </c>
      <c r="C31" s="275"/>
      <c r="D31" s="275"/>
      <c r="E31" s="275"/>
      <c r="F31" s="293" t="s">
        <v>49</v>
      </c>
      <c r="G31" s="258"/>
      <c r="H31" s="258"/>
      <c r="I31" s="258"/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</row>
    <row r="32" ht="22" customHeight="1" spans="2:20">
      <c r="B32" s="275" t="s">
        <v>71</v>
      </c>
      <c r="C32" s="275"/>
      <c r="D32" s="275"/>
      <c r="E32" s="275"/>
      <c r="F32" s="293" t="s">
        <v>30</v>
      </c>
      <c r="G32" s="258"/>
      <c r="H32" s="258"/>
      <c r="I32" s="258"/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</row>
    <row r="33" ht="22" customHeight="1" spans="2:20">
      <c r="B33" s="275" t="s">
        <v>72</v>
      </c>
      <c r="C33" s="275"/>
      <c r="D33" s="275"/>
      <c r="E33" s="275"/>
      <c r="F33" s="293" t="s">
        <v>32</v>
      </c>
      <c r="G33" s="258"/>
      <c r="H33" s="258"/>
      <c r="I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</row>
    <row r="34" ht="22" customHeight="1" spans="2:20">
      <c r="B34" s="275" t="s">
        <v>73</v>
      </c>
      <c r="C34" s="275"/>
      <c r="D34" s="275"/>
      <c r="E34" s="275"/>
      <c r="F34" s="293" t="s">
        <v>34</v>
      </c>
      <c r="G34" s="258"/>
      <c r="H34" s="258"/>
      <c r="I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</row>
    <row r="35" ht="22" customHeight="1" spans="2:20">
      <c r="B35" s="275" t="s">
        <v>74</v>
      </c>
      <c r="C35" s="275"/>
      <c r="D35" s="275"/>
      <c r="E35" s="275"/>
      <c r="F35" s="293" t="s">
        <v>40</v>
      </c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</row>
    <row r="36" ht="22" customHeight="1" spans="2:20">
      <c r="B36" s="275" t="s">
        <v>75</v>
      </c>
      <c r="C36" s="275"/>
      <c r="D36" s="275"/>
      <c r="E36" s="275"/>
      <c r="F36" s="293" t="s">
        <v>42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</row>
    <row r="37" ht="16" customHeight="1" spans="2:20">
      <c r="B37" s="258"/>
      <c r="C37" s="258"/>
      <c r="D37" s="258"/>
      <c r="E37" s="294"/>
      <c r="F37" s="283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</row>
    <row r="38" ht="16" customHeight="1" spans="2:20">
      <c r="B38" s="258"/>
      <c r="C38" s="258"/>
      <c r="D38" s="258"/>
      <c r="E38" s="258"/>
      <c r="F38" s="27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</row>
    <row r="39" ht="16" customHeight="1" spans="2:20">
      <c r="B39" s="258"/>
      <c r="C39" s="258"/>
      <c r="D39" s="258"/>
      <c r="E39" s="258"/>
      <c r="F39" s="27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</row>
    <row r="40" ht="16" customHeight="1" spans="2:20">
      <c r="B40" s="258"/>
      <c r="C40" s="258"/>
      <c r="D40" s="258"/>
      <c r="E40" s="258"/>
      <c r="F40" s="27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</row>
    <row r="41" ht="16" customHeight="1" spans="2:20">
      <c r="B41" s="258"/>
      <c r="C41" s="258"/>
      <c r="D41" s="258"/>
      <c r="E41" s="258"/>
      <c r="F41" s="27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</row>
    <row r="42" ht="16" customHeight="1" spans="2:20">
      <c r="B42" s="258"/>
      <c r="C42" s="258"/>
      <c r="D42" s="258"/>
      <c r="E42" s="258"/>
      <c r="F42" s="27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</row>
    <row r="43" ht="16" customHeight="1" spans="2:20">
      <c r="B43" s="258"/>
      <c r="C43" s="258"/>
      <c r="D43" s="258"/>
      <c r="E43" s="258"/>
      <c r="F43" s="27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</row>
    <row r="44" ht="16" customHeight="1" spans="2:20">
      <c r="B44" s="258"/>
      <c r="C44" s="258"/>
      <c r="D44" s="258"/>
      <c r="E44" s="258"/>
      <c r="F44" s="27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</row>
    <row r="45" ht="16" customHeight="1" spans="2:20">
      <c r="B45" s="258"/>
      <c r="C45" s="258"/>
      <c r="D45" s="258"/>
      <c r="E45" s="258"/>
      <c r="F45" s="27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</row>
    <row r="46" ht="16" customHeight="1" spans="2:20">
      <c r="B46" s="258"/>
      <c r="C46" s="258"/>
      <c r="D46" s="258"/>
      <c r="E46" s="258"/>
      <c r="F46" s="27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</row>
    <row r="47" ht="16" customHeight="1" spans="2:20">
      <c r="B47" s="258"/>
      <c r="C47" s="258"/>
      <c r="D47" s="258"/>
      <c r="E47" s="258"/>
      <c r="F47" s="27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</row>
    <row r="48" ht="16" customHeight="1" spans="2:20">
      <c r="B48" s="258"/>
      <c r="C48" s="258"/>
      <c r="D48" s="258"/>
      <c r="E48" s="258"/>
      <c r="F48" s="27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</row>
    <row r="49" ht="16" customHeight="1" spans="2:20">
      <c r="B49" s="258"/>
      <c r="C49" s="258"/>
      <c r="D49" s="258"/>
      <c r="E49" s="258"/>
      <c r="F49" s="27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</row>
    <row r="50" ht="16" customHeight="1" spans="2:20">
      <c r="B50" s="258"/>
      <c r="C50" s="258"/>
      <c r="D50" s="258"/>
      <c r="E50" s="258"/>
      <c r="F50" s="27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</row>
    <row r="51" ht="16" customHeight="1" spans="2:20">
      <c r="B51" s="258"/>
      <c r="C51" s="258"/>
      <c r="D51" s="258"/>
      <c r="E51" s="258"/>
      <c r="F51" s="27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</row>
    <row r="52" ht="16" customHeight="1" spans="2:20">
      <c r="B52" s="258"/>
      <c r="C52" s="258"/>
      <c r="D52" s="258"/>
      <c r="E52" s="258"/>
      <c r="F52" s="27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</row>
    <row r="53" ht="16" customHeight="1" spans="2:20">
      <c r="B53" s="258"/>
      <c r="C53" s="258"/>
      <c r="D53" s="258"/>
      <c r="E53" s="258"/>
      <c r="F53" s="27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</row>
    <row r="54" ht="16" customHeight="1" spans="2:20">
      <c r="B54" s="258"/>
      <c r="C54" s="258"/>
      <c r="D54" s="258"/>
      <c r="E54" s="258"/>
      <c r="F54" s="27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</row>
    <row r="55" ht="16" customHeight="1" spans="2:20">
      <c r="B55" s="258"/>
      <c r="C55" s="258"/>
      <c r="D55" s="258"/>
      <c r="E55" s="258"/>
      <c r="F55" s="27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</row>
    <row r="56" ht="16" customHeight="1" spans="2:20">
      <c r="B56" s="258"/>
      <c r="C56" s="258"/>
      <c r="D56" s="258"/>
      <c r="E56" s="258"/>
      <c r="F56" s="27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</row>
    <row r="57" ht="16" customHeight="1" spans="2:20">
      <c r="B57" s="258"/>
      <c r="C57" s="258"/>
      <c r="D57" s="258"/>
      <c r="E57" s="258"/>
      <c r="F57" s="27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</row>
    <row r="58" ht="16" customHeight="1" spans="2:20">
      <c r="B58" s="258"/>
      <c r="C58" s="258"/>
      <c r="D58" s="258"/>
      <c r="E58" s="258"/>
      <c r="F58" s="27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</row>
    <row r="59" ht="16" customHeight="1" spans="2:20">
      <c r="B59" s="258"/>
      <c r="C59" s="258"/>
      <c r="D59" s="258"/>
      <c r="E59" s="258"/>
      <c r="F59" s="27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</row>
    <row r="60" ht="16" customHeight="1" spans="2:20">
      <c r="B60" s="258"/>
      <c r="C60" s="258"/>
      <c r="D60" s="258"/>
      <c r="E60" s="258"/>
      <c r="F60" s="27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</row>
    <row r="61" ht="16" customHeight="1" spans="2:20">
      <c r="B61" s="258"/>
      <c r="C61" s="258"/>
      <c r="D61" s="258"/>
      <c r="E61" s="258"/>
      <c r="F61" s="27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</row>
    <row r="62" ht="16" customHeight="1" spans="2:20">
      <c r="B62" s="258"/>
      <c r="C62" s="258"/>
      <c r="D62" s="258"/>
      <c r="E62" s="258"/>
      <c r="F62" s="27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</row>
    <row r="63" ht="16" customHeight="1" spans="2:20">
      <c r="B63" s="258"/>
      <c r="C63" s="258"/>
      <c r="D63" s="258"/>
      <c r="E63" s="258"/>
      <c r="F63" s="27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</row>
    <row r="64" ht="16" customHeight="1" spans="2:20">
      <c r="B64" s="258"/>
      <c r="C64" s="258"/>
      <c r="D64" s="258"/>
      <c r="E64" s="258"/>
      <c r="F64" s="27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</row>
    <row r="65" ht="16" customHeight="1" spans="2:20">
      <c r="B65" s="258"/>
      <c r="C65" s="258"/>
      <c r="D65" s="258"/>
      <c r="E65" s="258"/>
      <c r="F65" s="27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</row>
    <row r="66" ht="16" customHeight="1" spans="2:20">
      <c r="B66" s="258"/>
      <c r="C66" s="258"/>
      <c r="D66" s="258"/>
      <c r="E66" s="258"/>
      <c r="F66" s="27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</row>
    <row r="67" ht="16" customHeight="1" spans="2:20">
      <c r="B67" s="258"/>
      <c r="C67" s="258"/>
      <c r="D67" s="258"/>
      <c r="E67" s="258"/>
      <c r="F67" s="27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</row>
    <row r="68" ht="16" customHeight="1" spans="2:20">
      <c r="B68" s="258"/>
      <c r="C68" s="258"/>
      <c r="D68" s="258"/>
      <c r="E68" s="258"/>
      <c r="F68" s="27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</row>
    <row r="69" ht="16" customHeight="1" spans="2:20">
      <c r="B69" s="258"/>
      <c r="C69" s="258"/>
      <c r="D69" s="258"/>
      <c r="E69" s="258"/>
      <c r="F69" s="27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</row>
    <row r="70" ht="16" customHeight="1" spans="2:20">
      <c r="B70" s="258"/>
      <c r="C70" s="258"/>
      <c r="D70" s="258"/>
      <c r="E70" s="258"/>
      <c r="F70" s="27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</row>
    <row r="71" ht="16" customHeight="1" spans="2:20">
      <c r="B71" s="258"/>
      <c r="C71" s="258"/>
      <c r="D71" s="258"/>
      <c r="E71" s="258"/>
      <c r="F71" s="27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</row>
    <row r="72" ht="16" customHeight="1" spans="2:20">
      <c r="B72" s="258"/>
      <c r="C72" s="258"/>
      <c r="D72" s="258"/>
      <c r="E72" s="258"/>
      <c r="F72" s="27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</row>
    <row r="73" ht="16" customHeight="1" spans="2:20">
      <c r="B73" s="258"/>
      <c r="C73" s="258"/>
      <c r="D73" s="258"/>
      <c r="E73" s="258"/>
      <c r="F73" s="27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</row>
    <row r="74" ht="16" customHeight="1" spans="2:20">
      <c r="B74" s="258"/>
      <c r="C74" s="258"/>
      <c r="D74" s="258"/>
      <c r="E74" s="258"/>
      <c r="F74" s="27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</row>
    <row r="75" ht="16" customHeight="1" spans="2:20">
      <c r="B75" s="258"/>
      <c r="C75" s="258"/>
      <c r="D75" s="258"/>
      <c r="E75" s="258"/>
      <c r="F75" s="27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</row>
    <row r="76" ht="16" customHeight="1" spans="2:20">
      <c r="B76" s="258"/>
      <c r="C76" s="258"/>
      <c r="D76" s="258"/>
      <c r="E76" s="258"/>
      <c r="F76" s="27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</row>
    <row r="77" ht="16" customHeight="1" spans="2:20">
      <c r="B77" s="258"/>
      <c r="C77" s="258"/>
      <c r="D77" s="258"/>
      <c r="E77" s="258"/>
      <c r="F77" s="27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</row>
    <row r="78" ht="16" customHeight="1" spans="2:20">
      <c r="B78" s="258"/>
      <c r="C78" s="258"/>
      <c r="D78" s="258"/>
      <c r="E78" s="258"/>
      <c r="F78" s="27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</row>
    <row r="79" ht="16" customHeight="1" spans="2:20">
      <c r="B79" s="258"/>
      <c r="C79" s="258"/>
      <c r="D79" s="258"/>
      <c r="E79" s="258"/>
      <c r="F79" s="27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</row>
    <row r="80" ht="16" customHeight="1" spans="2:20">
      <c r="B80" s="258"/>
      <c r="C80" s="258"/>
      <c r="D80" s="258"/>
      <c r="E80" s="258"/>
      <c r="F80" s="27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</row>
    <row r="81" ht="16" customHeight="1" spans="2:20">
      <c r="B81" s="258"/>
      <c r="C81" s="258"/>
      <c r="D81" s="258"/>
      <c r="E81" s="258"/>
      <c r="F81" s="27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</row>
    <row r="82" ht="16" customHeight="1" spans="2:20">
      <c r="B82" s="258"/>
      <c r="C82" s="258"/>
      <c r="D82" s="258"/>
      <c r="E82" s="258"/>
      <c r="F82" s="27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</row>
    <row r="83" ht="16" customHeight="1" spans="2:20">
      <c r="B83" s="258"/>
      <c r="C83" s="258"/>
      <c r="D83" s="258"/>
      <c r="E83" s="258"/>
      <c r="F83" s="27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</row>
    <row r="84" ht="16" customHeight="1" spans="2:20">
      <c r="B84" s="258"/>
      <c r="C84" s="258"/>
      <c r="D84" s="258"/>
      <c r="E84" s="258"/>
      <c r="F84" s="27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</row>
    <row r="85" ht="16" customHeight="1" spans="2:20">
      <c r="B85" s="258"/>
      <c r="C85" s="258"/>
      <c r="D85" s="258"/>
      <c r="E85" s="258"/>
      <c r="F85" s="27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</row>
    <row r="86" ht="16" customHeight="1" spans="2:20">
      <c r="B86" s="258"/>
      <c r="C86" s="258"/>
      <c r="D86" s="258"/>
      <c r="E86" s="258"/>
      <c r="F86" s="27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</row>
    <row r="87" ht="16" customHeight="1" spans="2:20">
      <c r="B87" s="258"/>
      <c r="C87" s="258"/>
      <c r="D87" s="258"/>
      <c r="E87" s="258"/>
      <c r="F87" s="27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</row>
    <row r="88" ht="16" customHeight="1" spans="2:20">
      <c r="B88" s="258"/>
      <c r="C88" s="258"/>
      <c r="D88" s="258"/>
      <c r="E88" s="258"/>
      <c r="F88" s="27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</row>
    <row r="89" ht="16" customHeight="1" spans="2:20">
      <c r="B89" s="258"/>
      <c r="C89" s="258"/>
      <c r="D89" s="258"/>
      <c r="E89" s="258"/>
      <c r="F89" s="27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</row>
    <row r="90" ht="16" customHeight="1" spans="2:20">
      <c r="B90" s="258"/>
      <c r="C90" s="258"/>
      <c r="D90" s="258"/>
      <c r="E90" s="258"/>
      <c r="F90" s="27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</row>
    <row r="91" ht="16" customHeight="1" spans="2:20">
      <c r="B91" s="258"/>
      <c r="C91" s="258"/>
      <c r="D91" s="258"/>
      <c r="E91" s="258"/>
      <c r="F91" s="27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</row>
    <row r="92" ht="16" customHeight="1" spans="2:20">
      <c r="B92" s="258"/>
      <c r="C92" s="258"/>
      <c r="D92" s="258"/>
      <c r="E92" s="258"/>
      <c r="F92" s="27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</row>
    <row r="93" ht="16" customHeight="1" spans="2:20">
      <c r="B93" s="258"/>
      <c r="C93" s="258"/>
      <c r="D93" s="258"/>
      <c r="E93" s="258"/>
      <c r="F93" s="27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</row>
    <row r="94" ht="16" customHeight="1" spans="2:20">
      <c r="B94" s="258"/>
      <c r="C94" s="258"/>
      <c r="D94" s="258"/>
      <c r="E94" s="258"/>
      <c r="F94" s="27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</row>
    <row r="95" ht="16" customHeight="1" spans="2:20">
      <c r="B95" s="258"/>
      <c r="C95" s="258"/>
      <c r="D95" s="258"/>
      <c r="E95" s="258"/>
      <c r="F95" s="27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</row>
    <row r="96" ht="16" customHeight="1" spans="2:20">
      <c r="B96" s="258"/>
      <c r="C96" s="258"/>
      <c r="D96" s="258"/>
      <c r="E96" s="258"/>
      <c r="F96" s="27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</row>
    <row r="97" ht="16" customHeight="1" spans="2:20">
      <c r="B97" s="258"/>
      <c r="C97" s="258"/>
      <c r="D97" s="258"/>
      <c r="E97" s="258"/>
      <c r="F97" s="27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</row>
    <row r="98" ht="16" customHeight="1" spans="2:20">
      <c r="B98" s="258"/>
      <c r="C98" s="258"/>
      <c r="D98" s="258"/>
      <c r="E98" s="258"/>
      <c r="F98" s="27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</row>
    <row r="99" ht="16" customHeight="1" spans="2:20">
      <c r="B99" s="258"/>
      <c r="C99" s="258"/>
      <c r="D99" s="258"/>
      <c r="E99" s="258"/>
      <c r="F99" s="27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</row>
    <row r="100" ht="16" customHeight="1" spans="2:20">
      <c r="B100" s="258"/>
      <c r="C100" s="258"/>
      <c r="D100" s="258"/>
      <c r="E100" s="258"/>
      <c r="F100" s="27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</row>
    <row r="101" ht="16" customHeight="1" spans="2:20">
      <c r="B101" s="258"/>
      <c r="C101" s="258"/>
      <c r="D101" s="258"/>
      <c r="E101" s="258"/>
      <c r="F101" s="27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</row>
    <row r="102" ht="16" customHeight="1" spans="2:20">
      <c r="B102" s="258"/>
      <c r="C102" s="258"/>
      <c r="D102" s="258"/>
      <c r="E102" s="258"/>
      <c r="F102" s="27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</row>
    <row r="103" ht="16" customHeight="1" spans="2:20">
      <c r="B103" s="258"/>
      <c r="C103" s="258"/>
      <c r="D103" s="258"/>
      <c r="E103" s="258"/>
      <c r="F103" s="27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</row>
    <row r="104" ht="16" customHeight="1" spans="2:20">
      <c r="B104" s="258"/>
      <c r="C104" s="258"/>
      <c r="D104" s="258"/>
      <c r="E104" s="258"/>
      <c r="F104" s="27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</row>
    <row r="105" ht="16" customHeight="1" spans="2:20">
      <c r="B105" s="258"/>
      <c r="C105" s="258"/>
      <c r="D105" s="258"/>
      <c r="E105" s="258"/>
      <c r="F105" s="27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</row>
    <row r="106" ht="16" customHeight="1" spans="2:20">
      <c r="B106" s="258"/>
      <c r="C106" s="258"/>
      <c r="D106" s="258"/>
      <c r="E106" s="258"/>
      <c r="F106" s="27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</row>
    <row r="107" ht="16" customHeight="1" spans="2:20">
      <c r="B107" s="258"/>
      <c r="C107" s="258"/>
      <c r="D107" s="258"/>
      <c r="E107" s="258"/>
      <c r="F107" s="27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</row>
    <row r="108" ht="16" customHeight="1" spans="2:20">
      <c r="B108" s="258"/>
      <c r="C108" s="258"/>
      <c r="D108" s="258"/>
      <c r="E108" s="258"/>
      <c r="F108" s="27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</row>
    <row r="109" ht="16" customHeight="1" spans="2:20">
      <c r="B109" s="258"/>
      <c r="C109" s="258"/>
      <c r="D109" s="258"/>
      <c r="E109" s="258"/>
      <c r="F109" s="27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</row>
    <row r="110" ht="16" customHeight="1" spans="2:20">
      <c r="B110" s="258"/>
      <c r="C110" s="258"/>
      <c r="D110" s="258"/>
      <c r="E110" s="258"/>
      <c r="F110" s="27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</row>
    <row r="111" ht="16" customHeight="1" spans="2:20">
      <c r="B111" s="258"/>
      <c r="C111" s="258"/>
      <c r="D111" s="258"/>
      <c r="E111" s="258"/>
      <c r="F111" s="27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</row>
    <row r="112" ht="16" customHeight="1" spans="2:20">
      <c r="B112" s="258"/>
      <c r="C112" s="258"/>
      <c r="D112" s="258"/>
      <c r="E112" s="258"/>
      <c r="F112" s="27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</row>
    <row r="113" ht="16" customHeight="1" spans="2:20">
      <c r="B113" s="258"/>
      <c r="C113" s="258"/>
      <c r="D113" s="258"/>
      <c r="E113" s="258"/>
      <c r="F113" s="27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</row>
    <row r="114" ht="16" customHeight="1" spans="2:20">
      <c r="B114" s="258"/>
      <c r="C114" s="258"/>
      <c r="D114" s="258"/>
      <c r="E114" s="258"/>
      <c r="F114" s="27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</row>
    <row r="115" ht="16" customHeight="1" spans="2:20">
      <c r="B115" s="258"/>
      <c r="C115" s="258"/>
      <c r="D115" s="258"/>
      <c r="E115" s="258"/>
      <c r="F115" s="27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</row>
    <row r="116" ht="16" customHeight="1" spans="2:20">
      <c r="B116" s="258"/>
      <c r="C116" s="258"/>
      <c r="D116" s="258"/>
      <c r="E116" s="258"/>
      <c r="F116" s="27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</row>
    <row r="117" ht="16" customHeight="1" spans="2:20">
      <c r="B117" s="258"/>
      <c r="C117" s="258"/>
      <c r="D117" s="258"/>
      <c r="E117" s="258"/>
      <c r="F117" s="27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</row>
    <row r="118" ht="16" customHeight="1" spans="2:20">
      <c r="B118" s="258"/>
      <c r="C118" s="258"/>
      <c r="D118" s="258"/>
      <c r="E118" s="258"/>
      <c r="F118" s="27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</row>
    <row r="119" ht="16" customHeight="1" spans="2:20">
      <c r="B119" s="258"/>
      <c r="C119" s="258"/>
      <c r="D119" s="258"/>
      <c r="E119" s="258"/>
      <c r="F119" s="27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</row>
    <row r="120" ht="16" customHeight="1" spans="2:20">
      <c r="B120" s="258"/>
      <c r="C120" s="258"/>
      <c r="D120" s="258"/>
      <c r="E120" s="258"/>
      <c r="F120" s="27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</row>
    <row r="121" ht="16" customHeight="1" spans="2:20">
      <c r="B121" s="258"/>
      <c r="C121" s="258"/>
      <c r="D121" s="258"/>
      <c r="E121" s="258"/>
      <c r="F121" s="27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</row>
    <row r="122" ht="16" customHeight="1" spans="2:20">
      <c r="B122" s="258"/>
      <c r="C122" s="258"/>
      <c r="D122" s="258"/>
      <c r="E122" s="258"/>
      <c r="F122" s="27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</row>
    <row r="123" ht="16" customHeight="1" spans="2:20">
      <c r="B123" s="258"/>
      <c r="C123" s="258"/>
      <c r="D123" s="258"/>
      <c r="E123" s="258"/>
      <c r="F123" s="27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</row>
    <row r="124" ht="16" customHeight="1" spans="2:20">
      <c r="B124" s="258"/>
      <c r="C124" s="258"/>
      <c r="D124" s="258"/>
      <c r="E124" s="258"/>
      <c r="F124" s="27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</row>
    <row r="125" ht="16" customHeight="1" spans="2:20">
      <c r="B125" s="258"/>
      <c r="C125" s="258"/>
      <c r="D125" s="258"/>
      <c r="E125" s="258"/>
      <c r="F125" s="27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</row>
    <row r="126" ht="16" customHeight="1" spans="2:20">
      <c r="B126" s="258"/>
      <c r="C126" s="258"/>
      <c r="D126" s="258"/>
      <c r="E126" s="258"/>
      <c r="F126" s="27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</row>
    <row r="127" ht="16" customHeight="1" spans="2:20">
      <c r="B127" s="258"/>
      <c r="C127" s="258"/>
      <c r="D127" s="258"/>
      <c r="E127" s="258"/>
      <c r="F127" s="27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</row>
    <row r="128" ht="16" customHeight="1" spans="2:20">
      <c r="B128" s="258"/>
      <c r="C128" s="258"/>
      <c r="D128" s="258"/>
      <c r="E128" s="258"/>
      <c r="F128" s="27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</row>
    <row r="129" ht="16" customHeight="1" spans="2:20">
      <c r="B129" s="258"/>
      <c r="C129" s="258"/>
      <c r="D129" s="258"/>
      <c r="E129" s="258"/>
      <c r="F129" s="27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</row>
    <row r="130" ht="16" customHeight="1" spans="2:20">
      <c r="B130" s="258"/>
      <c r="C130" s="258"/>
      <c r="D130" s="258"/>
      <c r="E130" s="258"/>
      <c r="F130" s="27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</row>
    <row r="131" ht="16" customHeight="1" spans="2:20">
      <c r="B131" s="258"/>
      <c r="C131" s="258"/>
      <c r="D131" s="258"/>
      <c r="E131" s="258"/>
      <c r="F131" s="27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</row>
    <row r="132" ht="16" customHeight="1" spans="2:20">
      <c r="B132" s="258"/>
      <c r="C132" s="258"/>
      <c r="D132" s="258"/>
      <c r="E132" s="258"/>
      <c r="F132" s="27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</row>
    <row r="133" ht="16" customHeight="1" spans="2:20">
      <c r="B133" s="258"/>
      <c r="C133" s="258"/>
      <c r="D133" s="258"/>
      <c r="E133" s="258"/>
      <c r="F133" s="27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</row>
    <row r="134" ht="16" customHeight="1" spans="2:20">
      <c r="B134" s="258"/>
      <c r="C134" s="258"/>
      <c r="D134" s="258"/>
      <c r="E134" s="258"/>
      <c r="F134" s="27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</row>
    <row r="135" ht="16" customHeight="1" spans="2:20">
      <c r="B135" s="258"/>
      <c r="C135" s="258"/>
      <c r="D135" s="258"/>
      <c r="E135" s="258"/>
      <c r="F135" s="27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</row>
    <row r="136" ht="16" customHeight="1" spans="2:20">
      <c r="B136" s="258"/>
      <c r="C136" s="258"/>
      <c r="D136" s="258"/>
      <c r="E136" s="258"/>
      <c r="F136" s="27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</row>
    <row r="137" ht="16" customHeight="1" spans="2:20">
      <c r="B137" s="258"/>
      <c r="C137" s="258"/>
      <c r="D137" s="258"/>
      <c r="E137" s="258"/>
      <c r="F137" s="27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</row>
    <row r="138" ht="16" customHeight="1" spans="2:20">
      <c r="B138" s="258"/>
      <c r="C138" s="258"/>
      <c r="D138" s="258"/>
      <c r="E138" s="258"/>
      <c r="F138" s="27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</row>
    <row r="139" ht="16" customHeight="1" spans="2:20">
      <c r="B139" s="258"/>
      <c r="C139" s="258"/>
      <c r="D139" s="258"/>
      <c r="E139" s="258"/>
      <c r="F139" s="27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</row>
    <row r="140" ht="16" customHeight="1" spans="2:20">
      <c r="B140" s="258"/>
      <c r="C140" s="258"/>
      <c r="D140" s="258"/>
      <c r="E140" s="258"/>
      <c r="F140" s="27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</row>
    <row r="141" ht="16" customHeight="1" spans="2:20">
      <c r="B141" s="258"/>
      <c r="C141" s="258"/>
      <c r="D141" s="258"/>
      <c r="E141" s="258"/>
      <c r="F141" s="27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</row>
    <row r="142" ht="16" customHeight="1" spans="2:20">
      <c r="B142" s="258"/>
      <c r="C142" s="258"/>
      <c r="D142" s="258"/>
      <c r="E142" s="258"/>
      <c r="F142" s="27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</row>
    <row r="143" ht="16" customHeight="1" spans="2:20">
      <c r="B143" s="258"/>
      <c r="C143" s="258"/>
      <c r="D143" s="258"/>
      <c r="E143" s="258"/>
      <c r="F143" s="27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</row>
    <row r="144" ht="16" customHeight="1" spans="2:20">
      <c r="B144" s="258"/>
      <c r="C144" s="258"/>
      <c r="D144" s="258"/>
      <c r="E144" s="258"/>
      <c r="F144" s="27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</row>
    <row r="145" ht="16" customHeight="1" spans="2:20">
      <c r="B145" s="258"/>
      <c r="C145" s="258"/>
      <c r="D145" s="258"/>
      <c r="E145" s="258"/>
      <c r="F145" s="27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</row>
    <row r="146" ht="16" customHeight="1" spans="2:20">
      <c r="B146" s="258"/>
      <c r="C146" s="258"/>
      <c r="D146" s="258"/>
      <c r="E146" s="258"/>
      <c r="F146" s="27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</row>
    <row r="147" ht="16" customHeight="1" spans="2:20">
      <c r="B147" s="258"/>
      <c r="C147" s="258"/>
      <c r="D147" s="258"/>
      <c r="E147" s="258"/>
      <c r="F147" s="27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</row>
    <row r="148" ht="16" customHeight="1" spans="2:20">
      <c r="B148" s="258"/>
      <c r="C148" s="258"/>
      <c r="D148" s="258"/>
      <c r="E148" s="258"/>
      <c r="F148" s="27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</row>
    <row r="149" ht="16" customHeight="1" spans="2:20">
      <c r="B149" s="258"/>
      <c r="C149" s="258"/>
      <c r="D149" s="258"/>
      <c r="E149" s="258"/>
      <c r="F149" s="27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</row>
    <row r="150" ht="16" customHeight="1" spans="2:20">
      <c r="B150" s="258"/>
      <c r="C150" s="258"/>
      <c r="D150" s="258"/>
      <c r="E150" s="258"/>
      <c r="F150" s="27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</row>
    <row r="151" ht="16" customHeight="1" spans="2:20">
      <c r="B151" s="258"/>
      <c r="C151" s="258"/>
      <c r="D151" s="258"/>
      <c r="E151" s="258"/>
      <c r="F151" s="27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</row>
    <row r="152" ht="16" customHeight="1" spans="2:20">
      <c r="B152" s="258"/>
      <c r="C152" s="258"/>
      <c r="D152" s="258"/>
      <c r="E152" s="258"/>
      <c r="F152" s="27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</row>
    <row r="153" ht="16" customHeight="1" spans="2:20">
      <c r="B153" s="258"/>
      <c r="C153" s="258"/>
      <c r="D153" s="258"/>
      <c r="E153" s="258"/>
      <c r="F153" s="27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</row>
    <row r="154" ht="16" customHeight="1" spans="2:20">
      <c r="B154" s="258"/>
      <c r="C154" s="258"/>
      <c r="D154" s="258"/>
      <c r="E154" s="258"/>
      <c r="F154" s="27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</row>
    <row r="155" ht="16" customHeight="1" spans="2:20">
      <c r="B155" s="258"/>
      <c r="C155" s="258"/>
      <c r="D155" s="258"/>
      <c r="E155" s="258"/>
      <c r="F155" s="27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</row>
    <row r="156" ht="16" customHeight="1" spans="2:20">
      <c r="B156" s="258"/>
      <c r="C156" s="258"/>
      <c r="D156" s="258"/>
      <c r="E156" s="258"/>
      <c r="F156" s="27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</row>
    <row r="157" ht="16" customHeight="1" spans="2:20">
      <c r="B157" s="258"/>
      <c r="C157" s="258"/>
      <c r="D157" s="258"/>
      <c r="E157" s="258"/>
      <c r="F157" s="27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</row>
    <row r="158" ht="16" customHeight="1" spans="2:20">
      <c r="B158" s="258"/>
      <c r="C158" s="258"/>
      <c r="D158" s="258"/>
      <c r="E158" s="258"/>
      <c r="F158" s="27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</row>
    <row r="159" ht="16" customHeight="1" spans="2:20">
      <c r="B159" s="258"/>
      <c r="C159" s="258"/>
      <c r="D159" s="258"/>
      <c r="E159" s="258"/>
      <c r="F159" s="27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</row>
    <row r="160" ht="16" customHeight="1" spans="2:20">
      <c r="B160" s="258"/>
      <c r="C160" s="258"/>
      <c r="D160" s="258"/>
      <c r="E160" s="258"/>
      <c r="F160" s="27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</row>
    <row r="161" ht="16" customHeight="1" spans="2:20">
      <c r="B161" s="258"/>
      <c r="C161" s="258"/>
      <c r="D161" s="258"/>
      <c r="E161" s="258"/>
      <c r="F161" s="27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</row>
    <row r="162" ht="16" customHeight="1" spans="2:20">
      <c r="B162" s="258"/>
      <c r="C162" s="258"/>
      <c r="D162" s="258"/>
      <c r="E162" s="258"/>
      <c r="F162" s="27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</row>
    <row r="163" ht="16" customHeight="1" spans="2:20">
      <c r="B163" s="258"/>
      <c r="C163" s="258"/>
      <c r="D163" s="258"/>
      <c r="E163" s="258"/>
      <c r="F163" s="27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</row>
    <row r="164" ht="16" customHeight="1" spans="2:20">
      <c r="B164" s="258"/>
      <c r="C164" s="258"/>
      <c r="D164" s="258"/>
      <c r="E164" s="258"/>
      <c r="F164" s="27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</row>
    <row r="165" ht="16" customHeight="1" spans="2:20">
      <c r="B165" s="258"/>
      <c r="C165" s="258"/>
      <c r="D165" s="258"/>
      <c r="E165" s="258"/>
      <c r="F165" s="27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</row>
    <row r="166" ht="16" customHeight="1" spans="2:20">
      <c r="B166" s="258"/>
      <c r="C166" s="258"/>
      <c r="D166" s="258"/>
      <c r="E166" s="258"/>
      <c r="F166" s="27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</row>
    <row r="167" ht="16" customHeight="1" spans="2:20">
      <c r="B167" s="258"/>
      <c r="C167" s="258"/>
      <c r="D167" s="258"/>
      <c r="E167" s="258"/>
      <c r="F167" s="27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</row>
    <row r="168" ht="16" customHeight="1" spans="2:20">
      <c r="B168" s="258"/>
      <c r="C168" s="258"/>
      <c r="D168" s="258"/>
      <c r="E168" s="258"/>
      <c r="F168" s="27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</row>
    <row r="169" ht="16" customHeight="1" spans="2:20">
      <c r="B169" s="258"/>
      <c r="C169" s="258"/>
      <c r="D169" s="258"/>
      <c r="E169" s="258"/>
      <c r="F169" s="27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</row>
    <row r="170" ht="16" customHeight="1" spans="2:20">
      <c r="B170" s="258"/>
      <c r="C170" s="258"/>
      <c r="D170" s="258"/>
      <c r="E170" s="258"/>
      <c r="F170" s="27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</row>
    <row r="171" ht="16" customHeight="1" spans="2:20">
      <c r="B171" s="258"/>
      <c r="C171" s="258"/>
      <c r="D171" s="258"/>
      <c r="E171" s="258"/>
      <c r="F171" s="27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</row>
    <row r="172" ht="16" customHeight="1" spans="2:20">
      <c r="B172" s="258"/>
      <c r="C172" s="258"/>
      <c r="D172" s="258"/>
      <c r="E172" s="258"/>
      <c r="F172" s="27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</row>
    <row r="173" ht="16" customHeight="1" spans="2:20">
      <c r="B173" s="258"/>
      <c r="C173" s="258"/>
      <c r="D173" s="258"/>
      <c r="E173" s="258"/>
      <c r="F173" s="27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</row>
    <row r="174" ht="16" customHeight="1" spans="2:20">
      <c r="B174" s="258"/>
      <c r="C174" s="258"/>
      <c r="D174" s="258"/>
      <c r="E174" s="258"/>
      <c r="F174" s="27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</row>
    <row r="175" ht="16" customHeight="1" spans="2:20">
      <c r="B175" s="258"/>
      <c r="C175" s="258"/>
      <c r="D175" s="258"/>
      <c r="E175" s="258"/>
      <c r="F175" s="27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</row>
    <row r="176" ht="16" customHeight="1" spans="2:20">
      <c r="B176" s="258"/>
      <c r="C176" s="258"/>
      <c r="D176" s="258"/>
      <c r="E176" s="258"/>
      <c r="F176" s="27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</row>
    <row r="177" ht="16" customHeight="1" spans="2:20">
      <c r="B177" s="258"/>
      <c r="C177" s="258"/>
      <c r="D177" s="258"/>
      <c r="E177" s="258"/>
      <c r="F177" s="27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</row>
    <row r="178" ht="16" customHeight="1" spans="2:20">
      <c r="B178" s="258"/>
      <c r="C178" s="258"/>
      <c r="D178" s="258"/>
      <c r="E178" s="258"/>
      <c r="F178" s="27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</row>
    <row r="179" ht="16" customHeight="1" spans="2:20">
      <c r="B179" s="258"/>
      <c r="C179" s="258"/>
      <c r="D179" s="258"/>
      <c r="E179" s="258"/>
      <c r="F179" s="27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</row>
    <row r="180" ht="16" customHeight="1" spans="2:20">
      <c r="B180" s="258"/>
      <c r="C180" s="258"/>
      <c r="D180" s="258"/>
      <c r="E180" s="258"/>
      <c r="F180" s="27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</row>
    <row r="181" ht="16" customHeight="1" spans="2:20">
      <c r="B181" s="258"/>
      <c r="C181" s="258"/>
      <c r="D181" s="258"/>
      <c r="E181" s="258"/>
      <c r="F181" s="27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</row>
    <row r="182" ht="16" customHeight="1" spans="2:20">
      <c r="B182" s="258"/>
      <c r="C182" s="258"/>
      <c r="D182" s="258"/>
      <c r="E182" s="258"/>
      <c r="F182" s="27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</row>
    <row r="183" ht="16" customHeight="1" spans="2:20">
      <c r="B183" s="258"/>
      <c r="C183" s="258"/>
      <c r="D183" s="258"/>
      <c r="E183" s="258"/>
      <c r="F183" s="27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</row>
    <row r="184" ht="16" customHeight="1" spans="2:20">
      <c r="B184" s="258"/>
      <c r="C184" s="258"/>
      <c r="D184" s="258"/>
      <c r="E184" s="258"/>
      <c r="F184" s="27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</row>
    <row r="185" ht="16" customHeight="1" spans="2:20">
      <c r="B185" s="258"/>
      <c r="C185" s="258"/>
      <c r="D185" s="258"/>
      <c r="E185" s="258"/>
      <c r="F185" s="27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</row>
    <row r="186" ht="16" customHeight="1" spans="2:20">
      <c r="B186" s="258"/>
      <c r="C186" s="258"/>
      <c r="D186" s="258"/>
      <c r="E186" s="258"/>
      <c r="F186" s="27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</row>
    <row r="187" ht="16" customHeight="1" spans="2:20">
      <c r="B187" s="258"/>
      <c r="C187" s="258"/>
      <c r="D187" s="258"/>
      <c r="E187" s="258"/>
      <c r="F187" s="27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</row>
    <row r="188" ht="16" customHeight="1" spans="2:20">
      <c r="B188" s="258"/>
      <c r="C188" s="258"/>
      <c r="D188" s="258"/>
      <c r="E188" s="258"/>
      <c r="F188" s="27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</row>
    <row r="189" ht="16" customHeight="1" spans="2:20">
      <c r="B189" s="258"/>
      <c r="C189" s="258"/>
      <c r="D189" s="258"/>
      <c r="E189" s="258"/>
      <c r="F189" s="27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</row>
    <row r="190" ht="16" customHeight="1" spans="2:20">
      <c r="B190" s="258"/>
      <c r="C190" s="258"/>
      <c r="D190" s="258"/>
      <c r="E190" s="258"/>
      <c r="F190" s="27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</row>
    <row r="191" ht="16" customHeight="1" spans="2:20">
      <c r="B191" s="258"/>
      <c r="C191" s="258"/>
      <c r="D191" s="258"/>
      <c r="E191" s="258"/>
      <c r="F191" s="27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</row>
    <row r="192" ht="16" customHeight="1" spans="2:20">
      <c r="B192" s="258"/>
      <c r="C192" s="258"/>
      <c r="D192" s="258"/>
      <c r="E192" s="258"/>
      <c r="F192" s="27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</row>
    <row r="193" ht="16" customHeight="1" spans="2:20">
      <c r="B193" s="258"/>
      <c r="C193" s="258"/>
      <c r="D193" s="258"/>
      <c r="E193" s="258"/>
      <c r="F193" s="27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</row>
    <row r="194" ht="16" customHeight="1" spans="2:20">
      <c r="B194" s="258"/>
      <c r="C194" s="258"/>
      <c r="D194" s="258"/>
      <c r="E194" s="258"/>
      <c r="F194" s="27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</row>
    <row r="195" ht="16" customHeight="1" spans="2:20">
      <c r="B195" s="258"/>
      <c r="C195" s="258"/>
      <c r="D195" s="258"/>
      <c r="E195" s="258"/>
      <c r="F195" s="27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</row>
    <row r="196" ht="16" customHeight="1" spans="2:20">
      <c r="B196" s="258"/>
      <c r="C196" s="258"/>
      <c r="D196" s="258"/>
      <c r="E196" s="258"/>
      <c r="F196" s="27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</row>
    <row r="197" ht="16" customHeight="1" spans="2:20">
      <c r="B197" s="258"/>
      <c r="C197" s="258"/>
      <c r="D197" s="258"/>
      <c r="E197" s="258"/>
      <c r="F197" s="27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</row>
    <row r="198" ht="16" customHeight="1" spans="2:20">
      <c r="B198" s="258"/>
      <c r="C198" s="258"/>
      <c r="D198" s="258"/>
      <c r="E198" s="258"/>
      <c r="F198" s="27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</row>
    <row r="199" ht="16" customHeight="1" spans="2:20">
      <c r="B199" s="258"/>
      <c r="C199" s="258"/>
      <c r="D199" s="258"/>
      <c r="E199" s="258"/>
      <c r="F199" s="27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</row>
    <row r="200" ht="16" customHeight="1" spans="2:20">
      <c r="B200" s="258"/>
      <c r="C200" s="258"/>
      <c r="D200" s="258"/>
      <c r="E200" s="258"/>
      <c r="F200" s="27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</row>
  </sheetData>
  <mergeCells count="8">
    <mergeCell ref="B1:E1"/>
    <mergeCell ref="B2:E2"/>
    <mergeCell ref="B3:E3"/>
    <mergeCell ref="B4:E4"/>
    <mergeCell ref="F1:F4"/>
    <mergeCell ref="F12:F15"/>
    <mergeCell ref="F17:F21"/>
    <mergeCell ref="C10:E1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workbookViewId="0">
      <selection activeCell="H11" sqref="H11"/>
    </sheetView>
  </sheetViews>
  <sheetFormatPr defaultColWidth="14" defaultRowHeight="15.2"/>
  <cols>
    <col min="1" max="1" width="47" customWidth="1"/>
    <col min="2" max="2" width="16" customWidth="1"/>
    <col min="3" max="3" width="14" customWidth="1"/>
    <col min="4" max="4" width="19" customWidth="1"/>
    <col min="5" max="5" width="25" customWidth="1"/>
    <col min="6" max="6" width="7" customWidth="1"/>
    <col min="7" max="7" width="13" customWidth="1"/>
    <col min="8" max="8" width="70" customWidth="1"/>
    <col min="9" max="20" width="11" customWidth="1"/>
  </cols>
  <sheetData>
    <row r="1" ht="36" customHeight="1" spans="1:6">
      <c r="A1" s="254" t="s">
        <v>87</v>
      </c>
      <c r="E1" s="229" t="s">
        <v>88</v>
      </c>
      <c r="F1" s="229"/>
    </row>
    <row r="2" ht="54" customHeight="1" spans="4:8">
      <c r="D2" s="210" t="s">
        <v>89</v>
      </c>
      <c r="E2" s="216" t="s">
        <v>90</v>
      </c>
      <c r="F2" s="230"/>
      <c r="G2" s="231" t="s">
        <v>89</v>
      </c>
      <c r="H2" s="232" t="s">
        <v>91</v>
      </c>
    </row>
    <row r="3" ht="20" customHeight="1" spans="4:8">
      <c r="D3" s="211" t="s">
        <v>92</v>
      </c>
      <c r="E3" s="255" t="s">
        <v>93</v>
      </c>
      <c r="G3" s="231" t="s">
        <v>94</v>
      </c>
      <c r="H3" s="232" t="s">
        <v>95</v>
      </c>
    </row>
    <row r="4" ht="7" customHeight="1" spans="7:8">
      <c r="G4" s="231"/>
      <c r="H4" s="235"/>
    </row>
    <row r="5" ht="23" customHeight="1" spans="1:8">
      <c r="A5" s="212" t="s">
        <v>96</v>
      </c>
      <c r="B5" s="213"/>
      <c r="D5" s="214"/>
      <c r="G5" s="231"/>
      <c r="H5" s="235"/>
    </row>
    <row r="6" ht="89" customHeight="1" spans="1:8">
      <c r="A6" s="215" t="s">
        <v>97</v>
      </c>
      <c r="B6" s="181"/>
      <c r="G6" s="200" t="s">
        <v>97</v>
      </c>
      <c r="H6" s="200" t="s">
        <v>98</v>
      </c>
    </row>
    <row r="7" ht="15" customHeight="1" spans="2:8">
      <c r="B7" s="181"/>
      <c r="D7" s="183"/>
      <c r="E7" s="183"/>
      <c r="G7" s="231"/>
      <c r="H7" s="235"/>
    </row>
    <row r="8" ht="22" customHeight="1" spans="2:8">
      <c r="B8" s="181"/>
      <c r="D8" s="216" t="s">
        <v>99</v>
      </c>
      <c r="E8" s="216" t="s">
        <v>100</v>
      </c>
      <c r="F8" s="230"/>
      <c r="G8" s="231" t="s">
        <v>99</v>
      </c>
      <c r="H8" s="234" t="s">
        <v>101</v>
      </c>
    </row>
    <row r="9" ht="22" customHeight="1" spans="2:8">
      <c r="B9" s="182"/>
      <c r="C9" s="183"/>
      <c r="D9" s="217" t="s">
        <v>102</v>
      </c>
      <c r="E9" s="236" t="s">
        <v>103</v>
      </c>
      <c r="F9" s="237"/>
      <c r="G9" s="231" t="s">
        <v>100</v>
      </c>
      <c r="H9" s="238" t="s">
        <v>104</v>
      </c>
    </row>
    <row r="10" ht="22" customHeight="1" spans="1:8">
      <c r="A10" s="218" t="s">
        <v>15</v>
      </c>
      <c r="B10" s="185"/>
      <c r="C10" s="219" t="s">
        <v>105</v>
      </c>
      <c r="D10" s="220" t="s">
        <v>106</v>
      </c>
      <c r="E10" s="220" t="s">
        <v>16</v>
      </c>
      <c r="F10" s="239"/>
      <c r="G10" s="231"/>
      <c r="H10" s="240"/>
    </row>
    <row r="11" ht="252" customHeight="1" spans="1:9">
      <c r="A11" s="221" t="s">
        <v>107</v>
      </c>
      <c r="B11" s="222"/>
      <c r="C11" s="223" t="s">
        <v>108</v>
      </c>
      <c r="D11" s="224" t="s">
        <v>109</v>
      </c>
      <c r="E11" s="224" t="s">
        <v>110</v>
      </c>
      <c r="F11" s="241"/>
      <c r="G11" s="231"/>
      <c r="H11" s="232" t="s">
        <v>111</v>
      </c>
      <c r="I11" s="246"/>
    </row>
    <row r="12" ht="30" customHeight="1" spans="1:9">
      <c r="A12" s="225" t="s">
        <v>112</v>
      </c>
      <c r="B12" s="226"/>
      <c r="C12" s="226"/>
      <c r="D12" s="227" t="s">
        <v>18</v>
      </c>
      <c r="E12" s="242">
        <v>0</v>
      </c>
      <c r="F12" s="243"/>
      <c r="G12" s="244" t="s">
        <v>113</v>
      </c>
      <c r="H12" s="245" t="s">
        <v>114</v>
      </c>
      <c r="I12" s="247" t="str">
        <f>_xlfn.DISPIMG("ID_AFD350EA27B940C293193DC5A49E7AC6",1)</f>
        <v>=DISPIMG("ID_AFD350EA27B940C293193DC5A49E7AC6",1)</v>
      </c>
    </row>
    <row r="13" ht="29" customHeight="1" spans="1:8">
      <c r="A13" s="228" t="s">
        <v>115</v>
      </c>
      <c r="D13" s="181"/>
      <c r="E13" s="222"/>
      <c r="G13" s="244" t="s">
        <v>23</v>
      </c>
      <c r="H13" s="245" t="s">
        <v>116</v>
      </c>
    </row>
    <row r="14" ht="106" customHeight="1" spans="1:8">
      <c r="A14" s="194" t="s">
        <v>117</v>
      </c>
      <c r="B14" s="194"/>
      <c r="C14" s="194"/>
      <c r="D14" s="182"/>
      <c r="E14" s="189"/>
      <c r="G14" s="244" t="s">
        <v>118</v>
      </c>
      <c r="H14" s="209" t="s">
        <v>119</v>
      </c>
    </row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ageMargins left="0.75" right="0.75" top="1" bottom="1" header="0.5" footer="0.5"/>
  <headerFooter/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workbookViewId="0">
      <selection activeCell="A1" sqref="A1:A3"/>
    </sheetView>
  </sheetViews>
  <sheetFormatPr defaultColWidth="14" defaultRowHeight="15.2"/>
  <cols>
    <col min="1" max="1" width="45" customWidth="1"/>
    <col min="2" max="2" width="8" customWidth="1"/>
    <col min="3" max="3" width="14" customWidth="1"/>
    <col min="4" max="4" width="19" customWidth="1"/>
    <col min="5" max="5" width="28" customWidth="1"/>
    <col min="6" max="6" width="4" customWidth="1"/>
    <col min="7" max="7" width="13" customWidth="1"/>
    <col min="8" max="8" width="70" customWidth="1"/>
    <col min="9" max="9" width="28" customWidth="1"/>
    <col min="10" max="10" width="13" customWidth="1"/>
    <col min="11" max="20" width="11" customWidth="1"/>
  </cols>
  <sheetData>
    <row r="1" ht="36" customHeight="1" spans="1:6">
      <c r="A1" s="248" t="s">
        <v>87</v>
      </c>
      <c r="B1" s="173"/>
      <c r="C1" s="173"/>
      <c r="D1" s="174" t="s">
        <v>45</v>
      </c>
      <c r="F1" s="174"/>
    </row>
    <row r="2" ht="68" customHeight="1" spans="4:8">
      <c r="D2" s="175" t="s">
        <v>89</v>
      </c>
      <c r="E2" s="175" t="s">
        <v>120</v>
      </c>
      <c r="F2" s="197"/>
      <c r="G2" s="198" t="s">
        <v>89</v>
      </c>
      <c r="H2" s="199" t="s">
        <v>91</v>
      </c>
    </row>
    <row r="3" ht="20" customHeight="1" spans="4:9">
      <c r="D3" s="176" t="s">
        <v>92</v>
      </c>
      <c r="E3" s="180" t="s">
        <v>121</v>
      </c>
      <c r="G3" s="198" t="s">
        <v>122</v>
      </c>
      <c r="H3" s="199" t="s">
        <v>123</v>
      </c>
      <c r="I3" s="202"/>
    </row>
    <row r="4" ht="7" customHeight="1"/>
    <row r="5" ht="23" customHeight="1" spans="1:4">
      <c r="A5" s="177" t="s">
        <v>96</v>
      </c>
      <c r="B5" s="178"/>
      <c r="D5" s="179"/>
    </row>
    <row r="6" ht="89" customHeight="1" spans="1:8">
      <c r="A6" s="180" t="s">
        <v>97</v>
      </c>
      <c r="B6" s="181"/>
      <c r="G6" s="200" t="s">
        <v>97</v>
      </c>
      <c r="H6" s="200" t="s">
        <v>98</v>
      </c>
    </row>
    <row r="7" ht="15" customHeight="1" spans="2:5">
      <c r="B7" s="182"/>
      <c r="C7" s="183"/>
      <c r="D7" s="183"/>
      <c r="E7" s="183"/>
    </row>
    <row r="8" ht="22" customHeight="1" spans="1:8">
      <c r="A8" s="184" t="s">
        <v>15</v>
      </c>
      <c r="B8" s="185"/>
      <c r="C8" s="186" t="s">
        <v>105</v>
      </c>
      <c r="D8" s="187" t="s">
        <v>106</v>
      </c>
      <c r="E8" s="187" t="s">
        <v>16</v>
      </c>
      <c r="F8" s="201"/>
      <c r="H8" s="202"/>
    </row>
    <row r="9" ht="383" customHeight="1" spans="1:8">
      <c r="A9" s="249" t="s">
        <v>124</v>
      </c>
      <c r="B9" s="189"/>
      <c r="C9" s="250">
        <v>1</v>
      </c>
      <c r="D9" s="251" t="s">
        <v>125</v>
      </c>
      <c r="E9" s="251" t="s">
        <v>125</v>
      </c>
      <c r="F9" s="203"/>
      <c r="H9" s="199" t="s">
        <v>111</v>
      </c>
    </row>
    <row r="10" ht="21" customHeight="1" spans="1:8">
      <c r="A10" s="192" t="s">
        <v>115</v>
      </c>
      <c r="C10" s="6"/>
      <c r="D10" s="193" t="s">
        <v>18</v>
      </c>
      <c r="E10" s="205">
        <v>0</v>
      </c>
      <c r="F10" s="6"/>
      <c r="G10" s="206" t="s">
        <v>23</v>
      </c>
      <c r="H10" s="207" t="s">
        <v>116</v>
      </c>
    </row>
    <row r="11" ht="109" customHeight="1" spans="1:8">
      <c r="A11" s="194" t="s">
        <v>117</v>
      </c>
      <c r="B11" s="183"/>
      <c r="C11" s="195"/>
      <c r="D11" s="252"/>
      <c r="E11" s="253"/>
      <c r="F11" s="6"/>
      <c r="G11" s="206" t="s">
        <v>118</v>
      </c>
      <c r="H11" s="209" t="s">
        <v>119</v>
      </c>
    </row>
    <row r="12" ht="21" customHeight="1" spans="4:5">
      <c r="D12" s="6"/>
      <c r="E12" s="6"/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2">
    <mergeCell ref="D1:E1"/>
    <mergeCell ref="A4:E4"/>
    <mergeCell ref="A8:B8"/>
    <mergeCell ref="A9:B9"/>
    <mergeCell ref="A10:C10"/>
    <mergeCell ref="A11:C11"/>
    <mergeCell ref="A1:A3"/>
    <mergeCell ref="D10:D11"/>
    <mergeCell ref="E10:E11"/>
    <mergeCell ref="B5:C7"/>
    <mergeCell ref="D5:E7"/>
    <mergeCell ref="B2:C3"/>
  </mergeCells>
  <pageMargins left="0.75" right="0.75" top="1" bottom="1" header="0.5" footer="0.5"/>
  <headerFooter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zoomScale="95" zoomScaleNormal="95" workbookViewId="0">
      <selection activeCell="E3" sqref="E3"/>
    </sheetView>
  </sheetViews>
  <sheetFormatPr defaultColWidth="14" defaultRowHeight="15.2"/>
  <cols>
    <col min="1" max="1" width="47" customWidth="1"/>
    <col min="2" max="2" width="16" customWidth="1"/>
    <col min="3" max="3" width="14" customWidth="1"/>
    <col min="4" max="4" width="19" customWidth="1"/>
    <col min="5" max="5" width="25" customWidth="1"/>
    <col min="6" max="6" width="7" customWidth="1"/>
    <col min="7" max="7" width="13" customWidth="1"/>
    <col min="8" max="8" width="70" customWidth="1"/>
    <col min="9" max="20" width="11" customWidth="1"/>
  </cols>
  <sheetData>
    <row r="1" ht="36" customHeight="1" spans="1:6">
      <c r="A1" s="172" t="s">
        <v>126</v>
      </c>
      <c r="E1" s="229" t="s">
        <v>88</v>
      </c>
      <c r="F1" s="229"/>
    </row>
    <row r="2" ht="54" customHeight="1" spans="4:8">
      <c r="D2" s="210" t="s">
        <v>89</v>
      </c>
      <c r="E2" s="216" t="s">
        <v>90</v>
      </c>
      <c r="F2" s="230"/>
      <c r="G2" s="231" t="s">
        <v>89</v>
      </c>
      <c r="H2" s="232" t="s">
        <v>91</v>
      </c>
    </row>
    <row r="3" ht="20" customHeight="1" spans="4:8">
      <c r="D3" s="211" t="s">
        <v>92</v>
      </c>
      <c r="E3" s="233" t="s">
        <v>127</v>
      </c>
      <c r="G3" s="231" t="s">
        <v>94</v>
      </c>
      <c r="H3" s="234" t="s">
        <v>128</v>
      </c>
    </row>
    <row r="4" ht="7" customHeight="1" spans="7:8">
      <c r="G4" s="231"/>
      <c r="H4" s="235"/>
    </row>
    <row r="5" ht="23" customHeight="1" spans="1:8">
      <c r="A5" s="212" t="s">
        <v>96</v>
      </c>
      <c r="B5" s="213"/>
      <c r="D5" s="214"/>
      <c r="G5" s="231"/>
      <c r="H5" s="235"/>
    </row>
    <row r="6" ht="89" customHeight="1" spans="1:8">
      <c r="A6" s="215" t="s">
        <v>97</v>
      </c>
      <c r="B6" s="181"/>
      <c r="G6" s="200" t="s">
        <v>97</v>
      </c>
      <c r="H6" s="200" t="s">
        <v>98</v>
      </c>
    </row>
    <row r="7" ht="15" customHeight="1" spans="2:8">
      <c r="B7" s="181"/>
      <c r="D7" s="183"/>
      <c r="E7" s="183"/>
      <c r="G7" s="231"/>
      <c r="H7" s="235"/>
    </row>
    <row r="8" ht="22" customHeight="1" spans="2:8">
      <c r="B8" s="181"/>
      <c r="D8" s="216" t="s">
        <v>99</v>
      </c>
      <c r="E8" s="216" t="s">
        <v>100</v>
      </c>
      <c r="F8" s="230"/>
      <c r="G8" s="231" t="s">
        <v>99</v>
      </c>
      <c r="H8" s="232" t="s">
        <v>101</v>
      </c>
    </row>
    <row r="9" ht="22" customHeight="1" spans="2:8">
      <c r="B9" s="182"/>
      <c r="C9" s="183"/>
      <c r="D9" s="217" t="s">
        <v>102</v>
      </c>
      <c r="E9" s="236" t="s">
        <v>103</v>
      </c>
      <c r="F9" s="237"/>
      <c r="G9" s="231" t="s">
        <v>100</v>
      </c>
      <c r="H9" s="238" t="s">
        <v>104</v>
      </c>
    </row>
    <row r="10" ht="22" customHeight="1" spans="1:8">
      <c r="A10" s="218" t="s">
        <v>15</v>
      </c>
      <c r="B10" s="185"/>
      <c r="C10" s="219" t="s">
        <v>105</v>
      </c>
      <c r="D10" s="220" t="s">
        <v>106</v>
      </c>
      <c r="E10" s="220" t="s">
        <v>16</v>
      </c>
      <c r="F10" s="239"/>
      <c r="G10" s="231"/>
      <c r="H10" s="240"/>
    </row>
    <row r="11" ht="252" customHeight="1" spans="1:9">
      <c r="A11" s="221" t="s">
        <v>107</v>
      </c>
      <c r="B11" s="222"/>
      <c r="C11" s="223" t="s">
        <v>108</v>
      </c>
      <c r="D11" s="224" t="s">
        <v>109</v>
      </c>
      <c r="E11" s="224" t="s">
        <v>110</v>
      </c>
      <c r="F11" s="241"/>
      <c r="G11" s="231"/>
      <c r="H11" s="232" t="s">
        <v>129</v>
      </c>
      <c r="I11" s="246"/>
    </row>
    <row r="12" ht="30" customHeight="1" spans="1:9">
      <c r="A12" s="225" t="s">
        <v>112</v>
      </c>
      <c r="B12" s="226"/>
      <c r="C12" s="226"/>
      <c r="D12" s="227" t="s">
        <v>18</v>
      </c>
      <c r="E12" s="242">
        <v>0</v>
      </c>
      <c r="F12" s="243"/>
      <c r="G12" s="244" t="s">
        <v>113</v>
      </c>
      <c r="H12" s="245" t="s">
        <v>114</v>
      </c>
      <c r="I12" s="247"/>
    </row>
    <row r="13" ht="40" customHeight="1" spans="1:8">
      <c r="A13" s="228" t="s">
        <v>115</v>
      </c>
      <c r="D13" s="181"/>
      <c r="E13" s="222"/>
      <c r="G13" s="244" t="s">
        <v>23</v>
      </c>
      <c r="H13" s="245" t="s">
        <v>116</v>
      </c>
    </row>
    <row r="14" ht="106" customHeight="1" spans="1:8">
      <c r="A14" s="194" t="s">
        <v>130</v>
      </c>
      <c r="B14" s="194"/>
      <c r="C14" s="194"/>
      <c r="D14" s="182"/>
      <c r="E14" s="189"/>
      <c r="G14" s="244" t="s">
        <v>118</v>
      </c>
      <c r="H14" s="209" t="s">
        <v>119</v>
      </c>
    </row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ageMargins left="0.75" right="0.75" top="1" bottom="1" header="0.5" footer="0.5"/>
  <headerFooter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99"/>
  <sheetViews>
    <sheetView topLeftCell="A9" workbookViewId="0">
      <selection activeCell="E10" sqref="E10:E11"/>
    </sheetView>
  </sheetViews>
  <sheetFormatPr defaultColWidth="14" defaultRowHeight="15.2"/>
  <cols>
    <col min="1" max="1" width="45" customWidth="1"/>
    <col min="2" max="2" width="8" customWidth="1"/>
    <col min="3" max="3" width="14" customWidth="1"/>
    <col min="4" max="4" width="19" customWidth="1"/>
    <col min="5" max="5" width="28" customWidth="1"/>
    <col min="6" max="6" width="4" customWidth="1"/>
    <col min="7" max="7" width="13" customWidth="1"/>
    <col min="8" max="8" width="70" customWidth="1"/>
    <col min="9" max="9" width="28" customWidth="1"/>
    <col min="10" max="10" width="13" customWidth="1"/>
    <col min="11" max="20" width="11" customWidth="1"/>
  </cols>
  <sheetData>
    <row r="1" ht="36" customHeight="1" spans="1:6">
      <c r="A1" s="172" t="s">
        <v>126</v>
      </c>
      <c r="B1" s="173"/>
      <c r="C1" s="173"/>
      <c r="D1" s="174" t="s">
        <v>45</v>
      </c>
      <c r="F1" s="174"/>
    </row>
    <row r="2" ht="68" customHeight="1" spans="4:8">
      <c r="D2" s="175" t="s">
        <v>89</v>
      </c>
      <c r="E2" s="175" t="s">
        <v>120</v>
      </c>
      <c r="F2" s="197"/>
      <c r="G2" s="198" t="s">
        <v>89</v>
      </c>
      <c r="H2" s="199" t="s">
        <v>91</v>
      </c>
    </row>
    <row r="3" ht="20" customHeight="1" spans="4:9">
      <c r="D3" s="176" t="s">
        <v>92</v>
      </c>
      <c r="E3" s="180" t="s">
        <v>131</v>
      </c>
      <c r="G3" s="198" t="s">
        <v>122</v>
      </c>
      <c r="H3" s="199" t="s">
        <v>123</v>
      </c>
      <c r="I3" s="202"/>
    </row>
    <row r="4" ht="7" customHeight="1"/>
    <row r="5" ht="23" customHeight="1" spans="1:4">
      <c r="A5" s="177" t="s">
        <v>96</v>
      </c>
      <c r="B5" s="178"/>
      <c r="D5" s="179"/>
    </row>
    <row r="6" ht="89" customHeight="1" spans="1:8">
      <c r="A6" s="180" t="s">
        <v>97</v>
      </c>
      <c r="B6" s="181"/>
      <c r="G6" s="200" t="s">
        <v>97</v>
      </c>
      <c r="H6" s="200" t="s">
        <v>98</v>
      </c>
    </row>
    <row r="7" ht="15" customHeight="1" spans="2:5">
      <c r="B7" s="182"/>
      <c r="C7" s="183"/>
      <c r="D7" s="183"/>
      <c r="E7" s="183"/>
    </row>
    <row r="8" ht="22" customHeight="1" spans="1:8">
      <c r="A8" s="184" t="s">
        <v>15</v>
      </c>
      <c r="B8" s="185"/>
      <c r="C8" s="186" t="s">
        <v>105</v>
      </c>
      <c r="D8" s="187" t="s">
        <v>106</v>
      </c>
      <c r="E8" s="187" t="s">
        <v>16</v>
      </c>
      <c r="F8" s="201"/>
      <c r="H8" s="202"/>
    </row>
    <row r="9" ht="383" customHeight="1" spans="1:8">
      <c r="A9" s="188" t="s">
        <v>124</v>
      </c>
      <c r="B9" s="189"/>
      <c r="C9" s="190">
        <v>1</v>
      </c>
      <c r="D9" s="191" t="s">
        <v>125</v>
      </c>
      <c r="E9" s="191" t="s">
        <v>125</v>
      </c>
      <c r="F9" s="203"/>
      <c r="H9" s="204" t="s">
        <v>129</v>
      </c>
    </row>
    <row r="10" ht="28" customHeight="1" spans="1:8">
      <c r="A10" s="192" t="s">
        <v>115</v>
      </c>
      <c r="C10" s="6"/>
      <c r="D10" s="193" t="s">
        <v>18</v>
      </c>
      <c r="E10" s="205">
        <v>0</v>
      </c>
      <c r="F10" s="6"/>
      <c r="G10" s="206" t="s">
        <v>23</v>
      </c>
      <c r="H10" s="207" t="s">
        <v>116</v>
      </c>
    </row>
    <row r="11" ht="109" customHeight="1" spans="1:8">
      <c r="A11" s="194" t="s">
        <v>130</v>
      </c>
      <c r="B11" s="183"/>
      <c r="C11" s="195"/>
      <c r="D11" s="196"/>
      <c r="E11" s="208"/>
      <c r="F11" s="6"/>
      <c r="G11" s="206" t="s">
        <v>118</v>
      </c>
      <c r="H11" s="209" t="s">
        <v>119</v>
      </c>
    </row>
    <row r="12" ht="21" customHeight="1" spans="4:5">
      <c r="D12" s="6"/>
      <c r="E12" s="6"/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</sheetData>
  <mergeCells count="12">
    <mergeCell ref="D1:E1"/>
    <mergeCell ref="A4:E4"/>
    <mergeCell ref="A8:B8"/>
    <mergeCell ref="A9:B9"/>
    <mergeCell ref="A10:C10"/>
    <mergeCell ref="A11:C11"/>
    <mergeCell ref="A1:A3"/>
    <mergeCell ref="D10:D11"/>
    <mergeCell ref="E10:E11"/>
    <mergeCell ref="B2:C3"/>
    <mergeCell ref="B5:C7"/>
    <mergeCell ref="D5:E7"/>
  </mergeCells>
  <pageMargins left="0.75" right="0.75" top="1" bottom="1" header="0.5" footer="0.5"/>
  <headerFooter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0"/>
  <sheetViews>
    <sheetView zoomScale="91" zoomScaleNormal="91" topLeftCell="A15" workbookViewId="0">
      <selection activeCell="F36" sqref="F36:F38"/>
    </sheetView>
  </sheetViews>
  <sheetFormatPr defaultColWidth="14" defaultRowHeight="15.2"/>
  <cols>
    <col min="1" max="1" width="20" customWidth="1"/>
    <col min="2" max="2" width="34" customWidth="1"/>
    <col min="3" max="3" width="29" customWidth="1"/>
    <col min="4" max="4" width="15" customWidth="1"/>
    <col min="5" max="5" width="21" customWidth="1"/>
    <col min="6" max="6" width="27" customWidth="1"/>
    <col min="7" max="7" width="93" customWidth="1"/>
    <col min="8" max="8" width="15" customWidth="1"/>
    <col min="9" max="9" width="29" customWidth="1"/>
    <col min="10" max="10" width="17" customWidth="1"/>
    <col min="11" max="11" width="11" customWidth="1"/>
    <col min="12" max="12" width="20" customWidth="1"/>
    <col min="13" max="20" width="11" customWidth="1"/>
  </cols>
  <sheetData>
    <row r="1" ht="218.35" customHeight="1" spans="1:9">
      <c r="A1" s="113"/>
      <c r="B1" s="113"/>
      <c r="C1" s="113"/>
      <c r="D1" s="113"/>
      <c r="E1" s="113"/>
      <c r="F1" s="113"/>
      <c r="G1" s="96"/>
      <c r="H1" s="96"/>
      <c r="I1" s="96"/>
    </row>
    <row r="2" ht="21" customHeight="1" spans="1:9">
      <c r="A2" s="114"/>
      <c r="B2" s="114"/>
      <c r="C2" s="114"/>
      <c r="D2" s="114"/>
      <c r="E2" s="114"/>
      <c r="F2" s="114"/>
      <c r="G2" s="96"/>
      <c r="H2" s="96"/>
      <c r="I2" s="96"/>
    </row>
    <row r="3" ht="21" customHeight="1" spans="1:9">
      <c r="A3" s="114"/>
      <c r="B3" s="114"/>
      <c r="C3" s="114"/>
      <c r="D3" s="114"/>
      <c r="E3" s="114"/>
      <c r="F3" s="114"/>
      <c r="G3" s="96"/>
      <c r="H3" s="96"/>
      <c r="I3" s="96"/>
    </row>
    <row r="4" ht="21" customHeight="1" spans="1:9">
      <c r="A4" s="114"/>
      <c r="B4" s="114"/>
      <c r="C4" s="114"/>
      <c r="D4" s="114"/>
      <c r="E4" s="153" t="s">
        <v>132</v>
      </c>
      <c r="F4" s="154">
        <v>45925</v>
      </c>
      <c r="G4" s="96" t="s">
        <v>133</v>
      </c>
      <c r="H4" s="96"/>
      <c r="I4" s="96"/>
    </row>
    <row r="5" ht="26" customHeight="1" spans="1:9">
      <c r="A5" s="114"/>
      <c r="B5" s="114"/>
      <c r="C5" s="114"/>
      <c r="D5" s="114"/>
      <c r="E5" s="155" t="s">
        <v>134</v>
      </c>
      <c r="F5" s="156" t="s">
        <v>135</v>
      </c>
      <c r="G5" s="96" t="s">
        <v>136</v>
      </c>
      <c r="H5" s="96"/>
      <c r="I5" s="96"/>
    </row>
    <row r="6" ht="28" customHeight="1" spans="1:9">
      <c r="A6" s="114"/>
      <c r="B6" s="114"/>
      <c r="C6" s="114"/>
      <c r="D6" s="114"/>
      <c r="E6" s="157" t="s">
        <v>137</v>
      </c>
      <c r="F6" s="158" t="s">
        <v>138</v>
      </c>
      <c r="G6" s="96" t="s">
        <v>26</v>
      </c>
      <c r="H6" s="96"/>
      <c r="I6" s="96"/>
    </row>
    <row r="7" ht="32" customHeight="1" spans="1:9">
      <c r="A7" s="114"/>
      <c r="B7" s="114"/>
      <c r="C7" s="114"/>
      <c r="D7" s="114"/>
      <c r="E7" s="119" t="s">
        <v>139</v>
      </c>
      <c r="F7" s="119"/>
      <c r="G7" s="94" t="s">
        <v>26</v>
      </c>
      <c r="H7" s="96"/>
      <c r="I7" s="96"/>
    </row>
    <row r="8" ht="21" customHeight="1" spans="1:9">
      <c r="A8" s="114"/>
      <c r="B8" s="114"/>
      <c r="C8" s="114"/>
      <c r="D8" s="114"/>
      <c r="E8" s="119" t="s">
        <v>140</v>
      </c>
      <c r="F8" s="119"/>
      <c r="G8" s="94"/>
      <c r="H8" s="96"/>
      <c r="I8" s="96"/>
    </row>
    <row r="9" ht="21" customHeight="1" spans="1:9">
      <c r="A9" s="114"/>
      <c r="B9" s="114"/>
      <c r="C9" s="114"/>
      <c r="D9" s="114"/>
      <c r="E9" s="119" t="s">
        <v>141</v>
      </c>
      <c r="F9" s="119"/>
      <c r="G9" s="94"/>
      <c r="H9" s="96"/>
      <c r="I9" s="96"/>
    </row>
    <row r="10" ht="26" customHeight="1" spans="1:9">
      <c r="A10" s="115" t="s">
        <v>142</v>
      </c>
      <c r="B10" s="116"/>
      <c r="C10" s="117"/>
      <c r="D10" s="114"/>
      <c r="E10" s="119"/>
      <c r="F10" s="119"/>
      <c r="G10" s="94" t="s">
        <v>6</v>
      </c>
      <c r="H10" s="94"/>
      <c r="I10" s="96"/>
    </row>
    <row r="11" ht="26" customHeight="1" spans="1:9">
      <c r="A11" s="116"/>
      <c r="B11" s="116"/>
      <c r="C11" s="117"/>
      <c r="D11" s="114"/>
      <c r="E11" s="114"/>
      <c r="F11" s="114"/>
      <c r="G11" s="94"/>
      <c r="H11" s="94"/>
      <c r="I11" s="96"/>
    </row>
    <row r="12" ht="19" customHeight="1" spans="1:12">
      <c r="A12" s="114"/>
      <c r="B12" s="118" t="s">
        <v>143</v>
      </c>
      <c r="C12" s="114"/>
      <c r="D12" s="114"/>
      <c r="E12" s="114"/>
      <c r="F12" s="114"/>
      <c r="G12" s="159"/>
      <c r="H12" s="159"/>
      <c r="I12" s="159"/>
      <c r="J12" s="170"/>
      <c r="K12" s="170"/>
      <c r="L12" s="170"/>
    </row>
    <row r="13" ht="19" customHeight="1" spans="1:9">
      <c r="A13" s="114"/>
      <c r="B13" s="114"/>
      <c r="C13" s="114"/>
      <c r="D13" s="114"/>
      <c r="E13" s="114"/>
      <c r="F13" s="114"/>
      <c r="G13" s="96"/>
      <c r="H13" s="96"/>
      <c r="I13" s="96"/>
    </row>
    <row r="14" ht="19" customHeight="1" spans="1:9">
      <c r="A14" s="114"/>
      <c r="B14" s="114"/>
      <c r="C14" s="114"/>
      <c r="D14" s="114"/>
      <c r="E14" s="114"/>
      <c r="F14" s="114"/>
      <c r="G14" s="96"/>
      <c r="H14" s="96"/>
      <c r="I14" s="96"/>
    </row>
    <row r="15" ht="21" customHeight="1" spans="1:9">
      <c r="A15" s="114"/>
      <c r="B15" s="114"/>
      <c r="C15" s="114"/>
      <c r="D15" s="114"/>
      <c r="E15" s="114"/>
      <c r="F15" s="114"/>
      <c r="G15" s="96"/>
      <c r="H15" s="96"/>
      <c r="I15" s="96"/>
    </row>
    <row r="16" ht="45" customHeight="1" spans="1:9">
      <c r="A16" s="119" t="s">
        <v>144</v>
      </c>
      <c r="B16" s="120">
        <f>F4</f>
        <v>45925</v>
      </c>
      <c r="C16" s="120"/>
      <c r="D16" s="121"/>
      <c r="E16" s="114"/>
      <c r="F16" s="114"/>
      <c r="G16" s="96" t="s">
        <v>145</v>
      </c>
      <c r="H16" s="96"/>
      <c r="I16" s="96"/>
    </row>
    <row r="17" ht="45" customHeight="1" spans="1:9">
      <c r="A17" s="122" t="s">
        <v>146</v>
      </c>
      <c r="B17" s="123">
        <f>F38</f>
        <v>606.1</v>
      </c>
      <c r="C17" s="124"/>
      <c r="D17" s="114"/>
      <c r="E17" s="114"/>
      <c r="F17" s="114"/>
      <c r="G17" s="96" t="s">
        <v>147</v>
      </c>
      <c r="H17" s="96"/>
      <c r="I17" s="96"/>
    </row>
    <row r="18" ht="22" customHeight="1" spans="1:9">
      <c r="A18" s="114"/>
      <c r="B18" s="114"/>
      <c r="C18" s="114"/>
      <c r="D18" s="125"/>
      <c r="E18" s="125"/>
      <c r="F18" s="114"/>
      <c r="G18" s="96"/>
      <c r="H18" s="96"/>
      <c r="I18" s="96"/>
    </row>
    <row r="19" ht="32" customHeight="1" spans="1:9">
      <c r="A19" s="126" t="s">
        <v>148</v>
      </c>
      <c r="B19" s="127" t="s">
        <v>149</v>
      </c>
      <c r="C19" s="127" t="s">
        <v>150</v>
      </c>
      <c r="D19" s="127" t="s">
        <v>151</v>
      </c>
      <c r="E19" s="127" t="s">
        <v>152</v>
      </c>
      <c r="F19" s="127" t="s">
        <v>153</v>
      </c>
      <c r="G19" s="96"/>
      <c r="H19" s="96"/>
      <c r="I19" s="96"/>
    </row>
    <row r="20" ht="24" customHeight="1" spans="1:10">
      <c r="A20" s="128">
        <v>1</v>
      </c>
      <c r="B20" s="129" t="s">
        <v>154</v>
      </c>
      <c r="C20" s="130" t="s">
        <v>155</v>
      </c>
      <c r="D20" s="131">
        <v>1</v>
      </c>
      <c r="E20" s="160">
        <v>551</v>
      </c>
      <c r="F20" s="161">
        <f>E20</f>
        <v>551</v>
      </c>
      <c r="G20" s="53" t="s">
        <v>156</v>
      </c>
      <c r="H20" s="162"/>
      <c r="I20" s="96"/>
      <c r="J20" s="171"/>
    </row>
    <row r="21" ht="24" customHeight="1" spans="1:10">
      <c r="A21" s="132"/>
      <c r="B21" s="133"/>
      <c r="C21" s="133"/>
      <c r="D21" s="134"/>
      <c r="E21" s="163"/>
      <c r="F21" s="164"/>
      <c r="G21" s="94"/>
      <c r="H21" s="96"/>
      <c r="I21" s="96"/>
      <c r="J21" s="171"/>
    </row>
    <row r="22" ht="24" customHeight="1" spans="1:10">
      <c r="A22" s="132"/>
      <c r="B22" s="135"/>
      <c r="C22" s="133"/>
      <c r="D22" s="136"/>
      <c r="E22" s="136"/>
      <c r="F22" s="164"/>
      <c r="G22" s="94"/>
      <c r="H22" s="96"/>
      <c r="I22" s="96"/>
      <c r="J22" s="171"/>
    </row>
    <row r="23" ht="24" customHeight="1" spans="1:10">
      <c r="A23" s="132"/>
      <c r="B23" s="137"/>
      <c r="C23" s="133"/>
      <c r="D23" s="136"/>
      <c r="E23" s="165"/>
      <c r="F23" s="164"/>
      <c r="G23" s="94"/>
      <c r="H23" s="96"/>
      <c r="I23" s="96"/>
      <c r="J23" s="171"/>
    </row>
    <row r="24" ht="24" hidden="1" customHeight="1" spans="1:10">
      <c r="A24" s="132"/>
      <c r="B24" s="138"/>
      <c r="C24" s="133"/>
      <c r="D24" s="136"/>
      <c r="E24" s="165"/>
      <c r="F24" s="164"/>
      <c r="G24" s="96"/>
      <c r="H24" s="96"/>
      <c r="I24" s="96"/>
      <c r="J24" s="171"/>
    </row>
    <row r="25" ht="24" hidden="1" customHeight="1" spans="1:10">
      <c r="A25" s="133"/>
      <c r="B25" s="133"/>
      <c r="C25" s="133"/>
      <c r="D25" s="136"/>
      <c r="E25" s="165"/>
      <c r="F25" s="164"/>
      <c r="G25" s="96"/>
      <c r="H25" s="96"/>
      <c r="I25" s="96"/>
      <c r="J25" s="171"/>
    </row>
    <row r="26" ht="24" hidden="1" customHeight="1" spans="1:9">
      <c r="A26" s="133"/>
      <c r="B26" s="133"/>
      <c r="C26" s="133"/>
      <c r="D26" s="136"/>
      <c r="E26" s="165"/>
      <c r="F26" s="164"/>
      <c r="G26" s="96"/>
      <c r="H26" s="96"/>
      <c r="I26" s="96"/>
    </row>
    <row r="27" ht="24" hidden="1" customHeight="1" spans="1:9">
      <c r="A27" s="133"/>
      <c r="B27" s="133"/>
      <c r="C27" s="133"/>
      <c r="D27" s="136"/>
      <c r="E27" s="165"/>
      <c r="F27" s="164"/>
      <c r="G27" s="96"/>
      <c r="H27" s="96"/>
      <c r="I27" s="96"/>
    </row>
    <row r="28" ht="24" customHeight="1" spans="1:9">
      <c r="A28" s="133"/>
      <c r="B28" s="133"/>
      <c r="C28" s="133"/>
      <c r="D28" s="136"/>
      <c r="E28" s="165"/>
      <c r="F28" s="164"/>
      <c r="G28" s="96"/>
      <c r="H28" s="96"/>
      <c r="I28" s="96"/>
    </row>
    <row r="29" ht="24" customHeight="1" spans="1:9">
      <c r="A29" s="133"/>
      <c r="B29" s="133"/>
      <c r="C29" s="133"/>
      <c r="D29" s="136"/>
      <c r="E29" s="165"/>
      <c r="F29" s="164"/>
      <c r="G29" s="96"/>
      <c r="H29" s="96"/>
      <c r="I29" s="96"/>
    </row>
    <row r="30" ht="24" customHeight="1" spans="1:9">
      <c r="A30" s="133"/>
      <c r="B30" s="133"/>
      <c r="C30" s="133"/>
      <c r="D30" s="133"/>
      <c r="E30" s="165"/>
      <c r="F30" s="164"/>
      <c r="G30" s="96"/>
      <c r="H30" s="96"/>
      <c r="I30" s="96"/>
    </row>
    <row r="31" ht="24" customHeight="1" spans="1:9">
      <c r="A31" s="133"/>
      <c r="B31" s="133"/>
      <c r="C31" s="133"/>
      <c r="D31" s="133"/>
      <c r="E31" s="165"/>
      <c r="F31" s="133"/>
      <c r="G31" s="96"/>
      <c r="H31" s="96"/>
      <c r="I31" s="96"/>
    </row>
    <row r="32" ht="24" customHeight="1" spans="1:9">
      <c r="A32" s="133"/>
      <c r="B32" s="133"/>
      <c r="C32" s="133"/>
      <c r="D32" s="133"/>
      <c r="E32" s="165"/>
      <c r="F32" s="133"/>
      <c r="G32" s="96"/>
      <c r="H32" s="96"/>
      <c r="I32" s="96"/>
    </row>
    <row r="33" ht="24" customHeight="1" spans="1:9">
      <c r="A33" s="133"/>
      <c r="B33" s="133"/>
      <c r="C33" s="133"/>
      <c r="D33" s="133"/>
      <c r="E33" s="165"/>
      <c r="F33" s="133"/>
      <c r="G33" s="96"/>
      <c r="H33" s="96"/>
      <c r="I33" s="96"/>
    </row>
    <row r="34" ht="24" customHeight="1" spans="1:9">
      <c r="A34" s="133"/>
      <c r="B34" s="133"/>
      <c r="C34" s="133"/>
      <c r="D34" s="133"/>
      <c r="E34" s="165"/>
      <c r="F34" s="133"/>
      <c r="G34" s="96"/>
      <c r="H34" s="96"/>
      <c r="I34" s="96"/>
    </row>
    <row r="35" ht="24" customHeight="1" spans="1:9">
      <c r="A35" s="133"/>
      <c r="B35" s="133"/>
      <c r="C35" s="133"/>
      <c r="D35" s="133"/>
      <c r="E35" s="165"/>
      <c r="F35" s="133"/>
      <c r="G35" s="96"/>
      <c r="H35" s="96"/>
      <c r="I35" s="96"/>
    </row>
    <row r="36" ht="24" customHeight="1" spans="1:9">
      <c r="A36" s="139" t="s">
        <v>157</v>
      </c>
      <c r="B36" s="140"/>
      <c r="C36" s="140"/>
      <c r="D36" s="140"/>
      <c r="E36" s="166" t="s">
        <v>158</v>
      </c>
      <c r="F36" s="161">
        <f>SUM(F20:F35)</f>
        <v>551</v>
      </c>
      <c r="G36" s="96"/>
      <c r="H36" s="96"/>
      <c r="I36" s="96"/>
    </row>
    <row r="37" ht="24" customHeight="1" spans="1:9">
      <c r="A37" s="141"/>
      <c r="B37" s="142"/>
      <c r="C37" s="142"/>
      <c r="D37" s="142"/>
      <c r="E37" s="166" t="s">
        <v>159</v>
      </c>
      <c r="F37" s="167">
        <f>F36*10%</f>
        <v>55.1</v>
      </c>
      <c r="G37" s="96"/>
      <c r="H37" s="96"/>
      <c r="I37" s="96"/>
    </row>
    <row r="38" ht="24" customHeight="1" spans="1:9">
      <c r="A38" s="143"/>
      <c r="B38" s="144"/>
      <c r="C38" s="144"/>
      <c r="D38" s="144"/>
      <c r="E38" s="166" t="s">
        <v>160</v>
      </c>
      <c r="F38" s="167">
        <f>SUM(F36:F37)</f>
        <v>606.1</v>
      </c>
      <c r="G38" s="96"/>
      <c r="H38" s="96"/>
      <c r="I38" s="96"/>
    </row>
    <row r="39" ht="36" customHeight="1" spans="1:9">
      <c r="A39" s="118"/>
      <c r="B39" s="118"/>
      <c r="C39" s="118"/>
      <c r="D39" s="118"/>
      <c r="E39" s="118"/>
      <c r="F39" s="114"/>
      <c r="G39" s="168"/>
      <c r="H39" s="96"/>
      <c r="I39" s="96"/>
    </row>
    <row r="40" ht="21" customHeight="1" spans="1:9">
      <c r="A40" s="119" t="s">
        <v>161</v>
      </c>
      <c r="B40" s="114"/>
      <c r="C40" s="114"/>
      <c r="D40" s="114"/>
      <c r="E40" s="114"/>
      <c r="F40" s="114"/>
      <c r="G40" s="168" t="s">
        <v>26</v>
      </c>
      <c r="H40" s="96"/>
      <c r="I40" s="96"/>
    </row>
    <row r="41" ht="34" customHeight="1" spans="1:9">
      <c r="A41" s="145" t="s">
        <v>162</v>
      </c>
      <c r="B41" s="146"/>
      <c r="C41" s="147"/>
      <c r="D41" s="114"/>
      <c r="E41" s="114"/>
      <c r="F41" s="114"/>
      <c r="G41" s="169" t="s">
        <v>163</v>
      </c>
      <c r="H41" s="96"/>
      <c r="I41" s="96"/>
    </row>
    <row r="42" ht="40" customHeight="1" spans="1:9">
      <c r="A42" s="148" t="s">
        <v>164</v>
      </c>
      <c r="B42" s="149"/>
      <c r="C42" s="147"/>
      <c r="D42" s="114"/>
      <c r="E42" s="114"/>
      <c r="F42" s="114"/>
      <c r="G42" s="169"/>
      <c r="H42" s="96"/>
      <c r="I42" s="96"/>
    </row>
    <row r="43" ht="2" customHeight="1" spans="1:9">
      <c r="A43" s="150"/>
      <c r="B43" s="151"/>
      <c r="C43" s="147"/>
      <c r="D43" s="114"/>
      <c r="E43" s="114"/>
      <c r="F43" s="114"/>
      <c r="G43" s="94"/>
      <c r="H43" s="96"/>
      <c r="I43" s="96"/>
    </row>
    <row r="44" ht="21" customHeight="1" spans="1:9">
      <c r="A44" s="114"/>
      <c r="B44" s="114"/>
      <c r="C44" s="152"/>
      <c r="D44" s="114"/>
      <c r="E44" s="114"/>
      <c r="F44" s="114"/>
      <c r="G44" s="94"/>
      <c r="H44" s="96"/>
      <c r="I44" s="96"/>
    </row>
    <row r="45" ht="21" customHeight="1" spans="1:9">
      <c r="A45" s="114" t="s">
        <v>165</v>
      </c>
      <c r="B45" s="114"/>
      <c r="C45" s="114"/>
      <c r="D45" s="114"/>
      <c r="E45" s="114"/>
      <c r="F45" s="114"/>
      <c r="G45" s="168" t="s">
        <v>26</v>
      </c>
      <c r="H45" s="96"/>
      <c r="I45" s="96"/>
    </row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9">
    <mergeCell ref="A1:F1"/>
    <mergeCell ref="A41:B41"/>
    <mergeCell ref="A42:B42"/>
    <mergeCell ref="G7:G9"/>
    <mergeCell ref="G20:G23"/>
    <mergeCell ref="G41:G42"/>
    <mergeCell ref="A36:D38"/>
    <mergeCell ref="A10:B11"/>
    <mergeCell ref="G10:H11"/>
  </mergeCells>
  <pageMargins left="0.75" right="0.75" top="1" bottom="1" header="0.5" footer="0.5"/>
  <headerFooter/>
  <drawing r:id="rId2"/>
  <legacyDrawing r:id="rId3"/>
  <picture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M200"/>
  <sheetViews>
    <sheetView zoomScale="79" zoomScaleNormal="79" topLeftCell="A6" workbookViewId="0">
      <selection activeCell="E24" sqref="E24"/>
    </sheetView>
  </sheetViews>
  <sheetFormatPr defaultColWidth="14" defaultRowHeight="15.2"/>
  <cols>
    <col min="1" max="1" width="9" customWidth="1"/>
    <col min="2" max="2" width="74" customWidth="1"/>
    <col min="3" max="3" width="26" customWidth="1"/>
    <col min="4" max="4" width="17" customWidth="1"/>
    <col min="5" max="5" width="27" customWidth="1"/>
    <col min="6" max="6" width="35" customWidth="1"/>
    <col min="7" max="7" width="11" customWidth="1"/>
    <col min="8" max="8" width="71" customWidth="1"/>
    <col min="9" max="9" width="17" customWidth="1"/>
    <col min="10" max="20" width="11" customWidth="1"/>
  </cols>
  <sheetData>
    <row r="1" ht="30" customHeight="1" spans="2:8">
      <c r="B1" s="74" t="s">
        <v>166</v>
      </c>
      <c r="H1" s="96"/>
    </row>
    <row r="2" ht="57" customHeight="1" spans="3:8">
      <c r="C2" s="75"/>
      <c r="D2" s="76"/>
      <c r="E2" s="81" t="s">
        <v>10</v>
      </c>
      <c r="F2" s="80" t="s">
        <v>167</v>
      </c>
      <c r="H2" s="48" t="s">
        <v>168</v>
      </c>
    </row>
    <row r="3" ht="30" customHeight="1" spans="2:8">
      <c r="B3" s="75"/>
      <c r="C3" s="75"/>
      <c r="D3" s="77"/>
      <c r="E3" s="97">
        <v>46164</v>
      </c>
      <c r="F3" s="95" t="s">
        <v>169</v>
      </c>
      <c r="H3" s="96"/>
    </row>
    <row r="4" ht="30" customHeight="1" spans="2:8">
      <c r="B4" s="78" t="s">
        <v>170</v>
      </c>
      <c r="C4" s="75"/>
      <c r="D4" s="76"/>
      <c r="E4" s="81" t="s">
        <v>171</v>
      </c>
      <c r="H4" s="94" t="s">
        <v>172</v>
      </c>
    </row>
    <row r="5" ht="30" customHeight="1" spans="2:8">
      <c r="B5" s="78" t="s">
        <v>173</v>
      </c>
      <c r="D5" s="79"/>
      <c r="E5" s="80" t="s">
        <v>174</v>
      </c>
      <c r="H5" s="96"/>
    </row>
    <row r="6" ht="30" customHeight="1" spans="2:8">
      <c r="B6" s="80"/>
      <c r="D6" s="76"/>
      <c r="E6" s="81" t="s">
        <v>175</v>
      </c>
      <c r="H6" s="96"/>
    </row>
    <row r="7" ht="30" customHeight="1" spans="2:8">
      <c r="B7" s="81"/>
      <c r="D7" s="79"/>
      <c r="E7" s="80" t="str">
        <f>E5</f>
        <v>EPAUS202605B019</v>
      </c>
      <c r="H7" s="96"/>
    </row>
    <row r="8" ht="30" customHeight="1" spans="2:8">
      <c r="B8" s="81"/>
      <c r="D8" s="76"/>
      <c r="E8" s="81" t="s">
        <v>176</v>
      </c>
      <c r="H8" s="96"/>
    </row>
    <row r="9" ht="30" customHeight="1" spans="2:8">
      <c r="B9" s="79"/>
      <c r="D9" s="79"/>
      <c r="E9" s="80" t="s">
        <v>177</v>
      </c>
      <c r="H9" s="96" t="s">
        <v>178</v>
      </c>
    </row>
    <row r="10" ht="30" customHeight="1" spans="2:8">
      <c r="B10" s="79"/>
      <c r="H10" s="96"/>
    </row>
    <row r="11" ht="30" customHeight="1" spans="2:8">
      <c r="B11" s="79"/>
      <c r="H11" s="96"/>
    </row>
    <row r="12" ht="30" customHeight="1" spans="2:8">
      <c r="B12" s="79"/>
      <c r="H12" s="96"/>
    </row>
    <row r="13" ht="30" customHeight="1" spans="2:8">
      <c r="B13" s="82" t="s">
        <v>15</v>
      </c>
      <c r="C13" s="83" t="s">
        <v>179</v>
      </c>
      <c r="D13" s="83" t="s">
        <v>180</v>
      </c>
      <c r="E13" s="83" t="s">
        <v>181</v>
      </c>
      <c r="F13" s="98" t="s">
        <v>182</v>
      </c>
      <c r="H13" s="53" t="s">
        <v>183</v>
      </c>
    </row>
    <row r="14" ht="42" customHeight="1" spans="2:6">
      <c r="B14" s="84" t="s">
        <v>184</v>
      </c>
      <c r="C14" s="85">
        <v>1</v>
      </c>
      <c r="D14" s="86">
        <v>14546</v>
      </c>
      <c r="E14" s="99">
        <v>0.1</v>
      </c>
      <c r="F14" s="86">
        <f t="shared" ref="F14:F15" si="0">D14</f>
        <v>14546</v>
      </c>
    </row>
    <row r="15" ht="22" customHeight="1" spans="2:6">
      <c r="B15" s="84" t="s">
        <v>185</v>
      </c>
      <c r="C15" s="87">
        <v>1</v>
      </c>
      <c r="D15" s="88">
        <v>51303.26</v>
      </c>
      <c r="E15" s="100">
        <v>0.1</v>
      </c>
      <c r="F15" s="88">
        <f t="shared" si="0"/>
        <v>51303.26</v>
      </c>
    </row>
    <row r="16" ht="30" customHeight="1" spans="2:6">
      <c r="B16" s="84"/>
      <c r="C16" s="87"/>
      <c r="D16" s="88"/>
      <c r="E16" s="101"/>
      <c r="F16" s="88"/>
    </row>
    <row r="17" ht="30" customHeight="1" spans="2:6">
      <c r="B17" s="89"/>
      <c r="C17" s="90"/>
      <c r="D17" s="91"/>
      <c r="E17" s="100"/>
      <c r="F17" s="91"/>
    </row>
    <row r="18" ht="30" customHeight="1" spans="2:8">
      <c r="B18" s="80"/>
      <c r="F18" s="102"/>
      <c r="H18" s="96"/>
    </row>
    <row r="19" ht="30" customHeight="1" spans="5:8">
      <c r="E19" s="103" t="s">
        <v>186</v>
      </c>
      <c r="F19" s="104">
        <f>F14+F15</f>
        <v>65849.26</v>
      </c>
      <c r="H19" s="96"/>
    </row>
    <row r="20" ht="30" customHeight="1" spans="2:8">
      <c r="B20" s="80"/>
      <c r="E20" s="103" t="s">
        <v>187</v>
      </c>
      <c r="F20" s="104">
        <f>F19*0.1</f>
        <v>6584.926</v>
      </c>
      <c r="H20" s="96"/>
    </row>
    <row r="21" ht="30" customHeight="1" spans="2:8">
      <c r="B21" s="80"/>
      <c r="E21" s="105" t="s">
        <v>188</v>
      </c>
      <c r="F21" s="106">
        <f>F19+F20</f>
        <v>72434.186</v>
      </c>
      <c r="H21" s="96"/>
    </row>
    <row r="22" ht="30" customHeight="1" spans="2:8">
      <c r="B22" s="80"/>
      <c r="H22" s="96"/>
    </row>
    <row r="23" ht="30" customHeight="1" spans="2:8">
      <c r="B23" s="81" t="s">
        <v>189</v>
      </c>
      <c r="C23" s="92">
        <f>E3+0</f>
        <v>46164</v>
      </c>
      <c r="D23" s="93" t="s">
        <v>190</v>
      </c>
      <c r="H23" s="96"/>
    </row>
    <row r="24" ht="30" customHeight="1" spans="2:8">
      <c r="B24" s="80" t="s">
        <v>191</v>
      </c>
      <c r="H24" s="107" t="s">
        <v>192</v>
      </c>
    </row>
    <row r="25" ht="30" customHeight="1" spans="2:8">
      <c r="B25" s="80" t="s">
        <v>193</v>
      </c>
      <c r="H25" s="108" t="s">
        <v>194</v>
      </c>
    </row>
    <row r="26" ht="30" customHeight="1" spans="2:8">
      <c r="B26" s="80" t="s">
        <v>195</v>
      </c>
      <c r="H26" s="109" t="s">
        <v>196</v>
      </c>
    </row>
    <row r="27" ht="30" customHeight="1" spans="2:8">
      <c r="B27" s="80" t="s">
        <v>197</v>
      </c>
      <c r="H27" s="108" t="s">
        <v>198</v>
      </c>
    </row>
    <row r="28" ht="42" customHeight="1" spans="2:8">
      <c r="B28" s="94" t="s">
        <v>23</v>
      </c>
      <c r="H28" s="96" t="s">
        <v>24</v>
      </c>
    </row>
    <row r="29" ht="30" customHeight="1" spans="2:8">
      <c r="B29" s="80" t="s">
        <v>199</v>
      </c>
      <c r="H29" s="96"/>
    </row>
    <row r="30" ht="30" customHeight="1" spans="2:8">
      <c r="B30" s="80" t="s">
        <v>199</v>
      </c>
      <c r="H30" s="96"/>
    </row>
    <row r="31" ht="30" customHeight="1" spans="2:8">
      <c r="B31" s="80" t="s">
        <v>199</v>
      </c>
      <c r="H31" s="96"/>
    </row>
    <row r="32" ht="42" customHeight="1" spans="2:8">
      <c r="B32" s="74" t="s">
        <v>200</v>
      </c>
      <c r="H32" s="96"/>
    </row>
    <row r="33" ht="45" customHeight="1" spans="5:8">
      <c r="E33" s="81" t="s">
        <v>201</v>
      </c>
      <c r="F33" s="95" t="str">
        <f>B4</f>
        <v>客户名称：购买方名称</v>
      </c>
      <c r="H33" s="96"/>
    </row>
    <row r="34" ht="30" customHeight="1" spans="2:8">
      <c r="B34" s="80" t="s">
        <v>202</v>
      </c>
      <c r="E34" s="81" t="s">
        <v>171</v>
      </c>
      <c r="F34" s="80" t="str">
        <f>E5</f>
        <v>EPAUS202605B019</v>
      </c>
      <c r="H34" s="96"/>
    </row>
    <row r="35" ht="30" customHeight="1" spans="2:8">
      <c r="B35" s="80" t="s">
        <v>167</v>
      </c>
      <c r="E35" s="110" t="s">
        <v>203</v>
      </c>
      <c r="F35" s="111">
        <f>F21</f>
        <v>72434.186</v>
      </c>
      <c r="H35" s="96"/>
    </row>
    <row r="36" ht="30" customHeight="1" spans="2:8">
      <c r="B36" s="95" t="s">
        <v>169</v>
      </c>
      <c r="E36" s="110" t="s">
        <v>100</v>
      </c>
      <c r="F36" s="97">
        <f>E3</f>
        <v>46164</v>
      </c>
      <c r="H36" s="96"/>
    </row>
    <row r="37" ht="30" customHeight="1" spans="5:8">
      <c r="E37" s="81" t="s">
        <v>204</v>
      </c>
      <c r="F37" s="112"/>
      <c r="H37" s="96"/>
    </row>
    <row r="38" ht="30" customHeight="1" spans="5:8">
      <c r="E38" s="79"/>
      <c r="H38" s="96"/>
    </row>
    <row r="39" ht="21" customHeight="1"/>
    <row r="40" ht="21" customHeight="1" spans="2:8">
      <c r="B40" s="80" t="s">
        <v>199</v>
      </c>
      <c r="H40" s="96"/>
    </row>
    <row r="41" ht="21" customHeight="1"/>
    <row r="42" ht="21" customHeight="1"/>
    <row r="43" ht="21" customHeight="1"/>
    <row r="44" ht="21" customHeight="1"/>
    <row r="45" ht="21" customHeight="1"/>
    <row r="46" ht="21" customHeight="1" spans="2:8">
      <c r="B46" s="79"/>
      <c r="H46" s="96"/>
    </row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6">
    <mergeCell ref="H4:M4"/>
    <mergeCell ref="B32:C32"/>
    <mergeCell ref="B1:B2"/>
    <mergeCell ref="B36:B37"/>
    <mergeCell ref="F3:F5"/>
    <mergeCell ref="H13:H17"/>
  </mergeCells>
  <pageMargins left="0.75" right="0.75" top="1" bottom="1" header="0.5" footer="0.5"/>
  <headerFooter/>
  <drawing r:id="rId2"/>
  <legacyDrawing r:id="rId3"/>
  <picture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0"/>
  <sheetViews>
    <sheetView zoomScale="94" zoomScaleNormal="94" topLeftCell="A3" workbookViewId="0">
      <selection activeCell="E7" sqref="E7"/>
    </sheetView>
  </sheetViews>
  <sheetFormatPr defaultColWidth="14" defaultRowHeight="15.2"/>
  <cols>
    <col min="1" max="1" width="3" customWidth="1"/>
    <col min="2" max="2" width="45" customWidth="1"/>
    <col min="3" max="4" width="34" customWidth="1"/>
    <col min="5" max="5" width="24" customWidth="1"/>
    <col min="6" max="6" width="8" customWidth="1"/>
    <col min="7" max="7" width="55" customWidth="1"/>
    <col min="8" max="9" width="11" customWidth="1"/>
    <col min="10" max="10" width="15" customWidth="1"/>
    <col min="11" max="20" width="11" customWidth="1"/>
  </cols>
  <sheetData>
    <row r="1" ht="8" customHeight="1" spans="2:7">
      <c r="B1" s="1"/>
      <c r="C1" s="2"/>
      <c r="D1" s="3"/>
      <c r="E1" s="3"/>
      <c r="F1" s="3"/>
      <c r="G1" s="40"/>
    </row>
    <row r="2" ht="29" customHeight="1" spans="2:7">
      <c r="B2" s="4" t="s">
        <v>199</v>
      </c>
      <c r="F2" s="4"/>
      <c r="G2" s="41"/>
    </row>
    <row r="3" ht="92" customHeight="1" spans="2:7">
      <c r="B3" s="5" t="s">
        <v>205</v>
      </c>
      <c r="C3" s="6"/>
      <c r="D3" s="6"/>
      <c r="E3" s="6"/>
      <c r="F3" s="5"/>
      <c r="G3" s="42" t="s">
        <v>206</v>
      </c>
    </row>
    <row r="4" ht="33" customHeight="1" spans="1:7">
      <c r="A4" s="6"/>
      <c r="B4" s="7" t="s">
        <v>8</v>
      </c>
      <c r="C4" s="8"/>
      <c r="D4" s="8"/>
      <c r="E4" s="43"/>
      <c r="F4" s="44"/>
      <c r="G4" s="45"/>
    </row>
    <row r="5" ht="33" customHeight="1" spans="1:7">
      <c r="A5" s="6"/>
      <c r="B5" s="9" t="s">
        <v>207</v>
      </c>
      <c r="C5" s="10"/>
      <c r="D5" s="11" t="s">
        <v>208</v>
      </c>
      <c r="E5" s="46">
        <v>46148</v>
      </c>
      <c r="F5" s="47"/>
      <c r="G5" s="48" t="s">
        <v>209</v>
      </c>
    </row>
    <row r="6" ht="38" customHeight="1" spans="1:7">
      <c r="A6" s="6"/>
      <c r="B6" s="9" t="s">
        <v>210</v>
      </c>
      <c r="C6" s="10"/>
      <c r="D6" s="12" t="s">
        <v>211</v>
      </c>
      <c r="E6" s="49" t="s">
        <v>212</v>
      </c>
      <c r="F6" s="50"/>
      <c r="G6" s="48" t="s">
        <v>213</v>
      </c>
    </row>
    <row r="7" ht="40" customHeight="1" spans="1:7">
      <c r="A7" s="6"/>
      <c r="B7" s="13" t="s">
        <v>214</v>
      </c>
      <c r="C7" s="14" t="s">
        <v>215</v>
      </c>
      <c r="D7" s="15"/>
      <c r="E7" s="51" t="s">
        <v>216</v>
      </c>
      <c r="F7" s="52"/>
      <c r="G7" s="53" t="s">
        <v>217</v>
      </c>
    </row>
    <row r="8" ht="38" customHeight="1" spans="1:6">
      <c r="A8" s="6"/>
      <c r="B8" s="16" t="s">
        <v>218</v>
      </c>
      <c r="C8" s="17" t="s">
        <v>219</v>
      </c>
      <c r="D8" s="15"/>
      <c r="E8" s="54"/>
      <c r="F8" s="55"/>
    </row>
    <row r="9" ht="38" customHeight="1" spans="1:6">
      <c r="A9" s="6"/>
      <c r="B9" s="18"/>
      <c r="C9" s="19"/>
      <c r="D9" s="15"/>
      <c r="E9" s="54"/>
      <c r="F9" s="55"/>
    </row>
    <row r="10" ht="38" customHeight="1" spans="1:6">
      <c r="A10" s="6"/>
      <c r="B10" s="18"/>
      <c r="C10" s="19"/>
      <c r="D10" s="15"/>
      <c r="E10" s="54"/>
      <c r="F10" s="55"/>
    </row>
    <row r="11" ht="38" customHeight="1" spans="1:6">
      <c r="A11" s="6"/>
      <c r="B11" s="18"/>
      <c r="C11" s="19"/>
      <c r="D11" s="15"/>
      <c r="E11" s="54"/>
      <c r="F11" s="55"/>
    </row>
    <row r="12" ht="33" customHeight="1" spans="1:6">
      <c r="A12" s="6"/>
      <c r="B12" s="18"/>
      <c r="C12" s="19"/>
      <c r="D12" s="15"/>
      <c r="E12" s="54"/>
      <c r="F12" s="55"/>
    </row>
    <row r="13" ht="33" customHeight="1" spans="1:6">
      <c r="A13" s="6"/>
      <c r="B13" s="18"/>
      <c r="C13" s="19"/>
      <c r="D13" s="15"/>
      <c r="E13" s="54"/>
      <c r="F13" s="55"/>
    </row>
    <row r="14" ht="33" customHeight="1" spans="1:6">
      <c r="A14" s="6"/>
      <c r="B14" s="18"/>
      <c r="C14" s="19"/>
      <c r="D14" s="15"/>
      <c r="E14" s="54"/>
      <c r="F14" s="55"/>
    </row>
    <row r="15" ht="33" customHeight="1" spans="1:6">
      <c r="A15" s="6"/>
      <c r="B15" s="18"/>
      <c r="C15" s="19"/>
      <c r="D15" s="15"/>
      <c r="E15" s="54"/>
      <c r="F15" s="55"/>
    </row>
    <row r="16" ht="33" customHeight="1" spans="1:6">
      <c r="A16" s="6"/>
      <c r="B16" s="18"/>
      <c r="C16" s="19"/>
      <c r="D16" s="15"/>
      <c r="E16" s="54"/>
      <c r="F16" s="55"/>
    </row>
    <row r="17" ht="36" customHeight="1" spans="1:6">
      <c r="A17" s="6"/>
      <c r="B17" s="20" t="s">
        <v>220</v>
      </c>
      <c r="C17" s="21"/>
      <c r="D17" s="15"/>
      <c r="E17" s="56">
        <f>E8+E9+E10+E11+E12+E13+E14+E15+E16</f>
        <v>0</v>
      </c>
      <c r="F17" s="57"/>
    </row>
    <row r="18" ht="33" customHeight="1" spans="1:7">
      <c r="A18" s="6"/>
      <c r="B18" s="22" t="s">
        <v>221</v>
      </c>
      <c r="C18" s="6"/>
      <c r="D18" s="6"/>
      <c r="E18" s="58"/>
      <c r="F18" s="59"/>
      <c r="G18" s="41"/>
    </row>
    <row r="19" ht="36" customHeight="1" spans="1:7">
      <c r="A19" s="6"/>
      <c r="B19" s="23" t="s">
        <v>222</v>
      </c>
      <c r="C19" s="70" t="s">
        <v>223</v>
      </c>
      <c r="D19" s="25"/>
      <c r="E19" s="60"/>
      <c r="F19" s="61"/>
      <c r="G19" s="62" t="s">
        <v>224</v>
      </c>
    </row>
    <row r="20" ht="40" customHeight="1" spans="1:7">
      <c r="A20" s="6"/>
      <c r="B20" s="23" t="s">
        <v>225</v>
      </c>
      <c r="C20" s="71" t="s">
        <v>226</v>
      </c>
      <c r="D20" s="25"/>
      <c r="E20" s="60"/>
      <c r="F20" s="63"/>
      <c r="G20" s="62" t="s">
        <v>227</v>
      </c>
    </row>
    <row r="21" ht="41" customHeight="1" spans="1:7">
      <c r="A21" s="6"/>
      <c r="B21" s="23" t="s">
        <v>228</v>
      </c>
      <c r="C21" s="70" t="s">
        <v>223</v>
      </c>
      <c r="D21" s="25"/>
      <c r="E21" s="60"/>
      <c r="F21" s="61"/>
      <c r="G21" s="62" t="s">
        <v>229</v>
      </c>
    </row>
    <row r="22" ht="36" customHeight="1" spans="1:7">
      <c r="A22" s="6"/>
      <c r="B22" s="23" t="s">
        <v>230</v>
      </c>
      <c r="C22" s="31">
        <v>741861694838</v>
      </c>
      <c r="D22" s="21"/>
      <c r="E22" s="64"/>
      <c r="F22" s="61"/>
      <c r="G22" s="65" t="s">
        <v>198</v>
      </c>
    </row>
    <row r="23" ht="36" customHeight="1" spans="1:7">
      <c r="A23" s="6"/>
      <c r="B23" s="23" t="s">
        <v>231</v>
      </c>
      <c r="C23" s="72" t="s">
        <v>232</v>
      </c>
      <c r="D23" s="21"/>
      <c r="E23" s="64"/>
      <c r="F23" s="61"/>
      <c r="G23" s="65" t="s">
        <v>233</v>
      </c>
    </row>
    <row r="24" ht="36" customHeight="1" spans="1:10">
      <c r="A24" s="6"/>
      <c r="B24" s="23" t="s">
        <v>234</v>
      </c>
      <c r="C24" s="31" t="s">
        <v>235</v>
      </c>
      <c r="D24" s="21"/>
      <c r="E24" s="64"/>
      <c r="F24" s="61"/>
      <c r="G24" s="65" t="s">
        <v>236</v>
      </c>
      <c r="J24" s="69"/>
    </row>
    <row r="25" ht="41" customHeight="1" spans="1:10">
      <c r="A25" s="6"/>
      <c r="B25" s="23" t="s">
        <v>237</v>
      </c>
      <c r="C25" s="73" t="s">
        <v>238</v>
      </c>
      <c r="D25" s="25"/>
      <c r="E25" s="60"/>
      <c r="F25" s="66"/>
      <c r="G25" s="62" t="s">
        <v>239</v>
      </c>
      <c r="J25" s="69"/>
    </row>
    <row r="26" ht="36" customHeight="1" spans="1:7">
      <c r="A26" s="6"/>
      <c r="B26" s="30" t="s">
        <v>240</v>
      </c>
      <c r="C26" s="31"/>
      <c r="D26" s="21"/>
      <c r="E26" s="64"/>
      <c r="F26" s="61"/>
      <c r="G26" s="65" t="s">
        <v>241</v>
      </c>
    </row>
    <row r="27" ht="45" customHeight="1" spans="1:7">
      <c r="A27" s="6"/>
      <c r="B27" s="32"/>
      <c r="C27" s="33"/>
      <c r="D27" s="33"/>
      <c r="E27" s="67"/>
      <c r="F27" s="34"/>
      <c r="G27" s="1"/>
    </row>
    <row r="28" ht="54" customHeight="1" spans="2:7">
      <c r="B28" s="34"/>
      <c r="C28" s="35"/>
      <c r="D28" s="36"/>
      <c r="E28" s="36"/>
      <c r="F28" s="36"/>
      <c r="G28" s="41"/>
    </row>
    <row r="29" ht="42" customHeight="1" spans="2:7">
      <c r="B29" s="37"/>
      <c r="C29" s="37"/>
      <c r="D29" s="38"/>
      <c r="G29" s="38"/>
    </row>
    <row r="30" ht="30" customHeight="1" spans="3:7">
      <c r="C30" s="2"/>
      <c r="D30" s="3"/>
      <c r="E30" s="3"/>
      <c r="F30" s="3"/>
      <c r="G30" s="68"/>
    </row>
    <row r="31" ht="30" customHeight="1" spans="3:7">
      <c r="C31" s="2"/>
      <c r="D31" s="3"/>
      <c r="E31" s="3"/>
      <c r="F31" s="3"/>
      <c r="G31" s="68"/>
    </row>
    <row r="32" ht="22" customHeight="1" spans="3:7">
      <c r="C32" s="39"/>
      <c r="D32" s="2"/>
      <c r="E32" s="2"/>
      <c r="F32" s="2"/>
      <c r="G32" s="68"/>
    </row>
    <row r="33" ht="22" customHeight="1" spans="3:7">
      <c r="C33" s="39"/>
      <c r="D33" s="1"/>
      <c r="E33" s="1"/>
      <c r="F33" s="1"/>
      <c r="G33" s="68"/>
    </row>
    <row r="34" ht="22" customHeight="1" spans="1:7">
      <c r="A34" s="1"/>
      <c r="C34" s="39"/>
      <c r="D34" s="1"/>
      <c r="E34" s="1"/>
      <c r="F34" s="1"/>
      <c r="G34" s="40"/>
    </row>
    <row r="35" ht="22" customHeight="1" spans="1:7">
      <c r="A35" s="1"/>
      <c r="C35" s="39"/>
      <c r="D35" s="1"/>
      <c r="E35" s="1"/>
      <c r="F35" s="1"/>
      <c r="G35" s="40"/>
    </row>
    <row r="36" ht="22" customHeight="1" spans="1:7">
      <c r="A36" s="1"/>
      <c r="C36" s="39"/>
      <c r="D36" s="1"/>
      <c r="E36" s="1"/>
      <c r="F36" s="1"/>
      <c r="G36" s="40"/>
    </row>
    <row r="37" ht="22" customHeight="1" spans="1:7">
      <c r="A37" s="1"/>
      <c r="C37" s="39"/>
      <c r="D37" s="1"/>
      <c r="E37" s="1"/>
      <c r="F37" s="1"/>
      <c r="G37" s="40"/>
    </row>
    <row r="38" ht="22" customHeight="1" spans="1:7">
      <c r="A38" s="1"/>
      <c r="C38" s="39"/>
      <c r="D38" s="1"/>
      <c r="E38" s="1"/>
      <c r="F38" s="1"/>
      <c r="G38" s="40"/>
    </row>
    <row r="39" ht="22" customHeight="1" spans="1:7">
      <c r="A39" s="1"/>
      <c r="C39" s="39"/>
      <c r="D39" s="1"/>
      <c r="E39" s="1"/>
      <c r="F39" s="1"/>
      <c r="G39" s="40"/>
    </row>
    <row r="40" ht="22" customHeight="1" spans="1:7">
      <c r="A40" s="1"/>
      <c r="C40" s="39"/>
      <c r="D40" s="1"/>
      <c r="E40" s="1"/>
      <c r="F40" s="1"/>
      <c r="G40" s="40"/>
    </row>
    <row r="41" ht="22" customHeight="1" spans="1:7">
      <c r="A41" s="1"/>
      <c r="C41" s="39"/>
      <c r="D41" s="1"/>
      <c r="E41" s="1"/>
      <c r="F41" s="1"/>
      <c r="G41" s="40"/>
    </row>
    <row r="42" ht="22" customHeight="1" spans="1:7">
      <c r="A42" s="1"/>
      <c r="C42" s="39"/>
      <c r="D42" s="1"/>
      <c r="E42" s="1"/>
      <c r="F42" s="1"/>
      <c r="G42" s="40"/>
    </row>
    <row r="43" ht="22" customHeight="1" spans="1:7">
      <c r="A43" s="1"/>
      <c r="C43" s="39"/>
      <c r="D43" s="1"/>
      <c r="E43" s="1"/>
      <c r="F43" s="1"/>
      <c r="G43" s="40"/>
    </row>
    <row r="44" ht="22" customHeight="1" spans="1:7">
      <c r="A44" s="1"/>
      <c r="C44" s="39"/>
      <c r="D44" s="1"/>
      <c r="E44" s="1"/>
      <c r="F44" s="1"/>
      <c r="G44" s="40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26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G7:G17"/>
  </mergeCells>
  <pageMargins left="0.75" right="0.75" top="1" bottom="1" header="0.5" footer="0.5"/>
  <headerFooter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0"/>
  <sheetViews>
    <sheetView topLeftCell="A3" workbookViewId="0">
      <selection activeCell="B18" sqref="B18:E18"/>
    </sheetView>
  </sheetViews>
  <sheetFormatPr defaultColWidth="14" defaultRowHeight="15.2"/>
  <cols>
    <col min="1" max="1" width="3" customWidth="1"/>
    <col min="2" max="2" width="45" customWidth="1"/>
    <col min="3" max="4" width="34" customWidth="1"/>
    <col min="5" max="5" width="55" customWidth="1"/>
    <col min="6" max="6" width="8" customWidth="1"/>
    <col min="7" max="7" width="52" customWidth="1"/>
    <col min="8" max="9" width="11" customWidth="1"/>
    <col min="10" max="10" width="15" customWidth="1"/>
    <col min="11" max="20" width="11" customWidth="1"/>
  </cols>
  <sheetData>
    <row r="1" ht="20" customHeight="1" spans="2:7">
      <c r="B1" s="1"/>
      <c r="C1" s="2"/>
      <c r="D1" s="3"/>
      <c r="E1" s="3"/>
      <c r="F1" s="3"/>
      <c r="G1" s="40"/>
    </row>
    <row r="2" ht="29" customHeight="1" spans="2:7">
      <c r="B2" s="4" t="s">
        <v>199</v>
      </c>
      <c r="F2" s="4"/>
      <c r="G2" s="41"/>
    </row>
    <row r="3" ht="92" customHeight="1" spans="2:7">
      <c r="B3" s="5" t="s">
        <v>242</v>
      </c>
      <c r="C3" s="6"/>
      <c r="D3" s="6"/>
      <c r="E3" s="6"/>
      <c r="F3" s="5"/>
      <c r="G3" s="42" t="s">
        <v>206</v>
      </c>
    </row>
    <row r="4" ht="33" customHeight="1" spans="1:7">
      <c r="A4" s="6"/>
      <c r="B4" s="7" t="s">
        <v>8</v>
      </c>
      <c r="C4" s="8"/>
      <c r="D4" s="8"/>
      <c r="E4" s="43"/>
      <c r="F4" s="44"/>
      <c r="G4" s="45"/>
    </row>
    <row r="5" ht="33" customHeight="1" spans="1:7">
      <c r="A5" s="6"/>
      <c r="B5" s="9" t="s">
        <v>207</v>
      </c>
      <c r="C5" s="10"/>
      <c r="D5" s="11" t="s">
        <v>208</v>
      </c>
      <c r="E5" s="46">
        <v>46148</v>
      </c>
      <c r="F5" s="47"/>
      <c r="G5" s="48" t="s">
        <v>209</v>
      </c>
    </row>
    <row r="6" ht="38" customHeight="1" spans="1:7">
      <c r="A6" s="6"/>
      <c r="B6" s="9" t="s">
        <v>210</v>
      </c>
      <c r="C6" s="10"/>
      <c r="D6" s="12" t="s">
        <v>211</v>
      </c>
      <c r="E6" s="49" t="s">
        <v>243</v>
      </c>
      <c r="F6" s="50"/>
      <c r="G6" s="48" t="s">
        <v>244</v>
      </c>
    </row>
    <row r="7" ht="40" customHeight="1" spans="1:7">
      <c r="A7" s="6"/>
      <c r="B7" s="13" t="s">
        <v>214</v>
      </c>
      <c r="C7" s="14" t="s">
        <v>215</v>
      </c>
      <c r="D7" s="15"/>
      <c r="E7" s="51" t="s">
        <v>216</v>
      </c>
      <c r="F7" s="52"/>
      <c r="G7" s="53" t="s">
        <v>217</v>
      </c>
    </row>
    <row r="8" ht="38" customHeight="1" spans="1:6">
      <c r="A8" s="6"/>
      <c r="B8" s="16" t="s">
        <v>218</v>
      </c>
      <c r="C8" s="17" t="s">
        <v>219</v>
      </c>
      <c r="D8" s="15"/>
      <c r="E8" s="54"/>
      <c r="F8" s="55"/>
    </row>
    <row r="9" ht="38" customHeight="1" spans="1:6">
      <c r="A9" s="6"/>
      <c r="B9" s="18"/>
      <c r="C9" s="19"/>
      <c r="D9" s="15"/>
      <c r="E9" s="54"/>
      <c r="F9" s="55"/>
    </row>
    <row r="10" ht="38" customHeight="1" spans="1:6">
      <c r="A10" s="6"/>
      <c r="B10" s="18"/>
      <c r="C10" s="19"/>
      <c r="D10" s="15"/>
      <c r="E10" s="54"/>
      <c r="F10" s="55"/>
    </row>
    <row r="11" ht="38" customHeight="1" spans="1:6">
      <c r="A11" s="6"/>
      <c r="B11" s="18"/>
      <c r="C11" s="19"/>
      <c r="D11" s="15"/>
      <c r="E11" s="54"/>
      <c r="F11" s="55"/>
    </row>
    <row r="12" ht="33" customHeight="1" spans="1:6">
      <c r="A12" s="6"/>
      <c r="B12" s="18"/>
      <c r="C12" s="19"/>
      <c r="D12" s="15"/>
      <c r="E12" s="54"/>
      <c r="F12" s="55"/>
    </row>
    <row r="13" ht="33" customHeight="1" spans="1:6">
      <c r="A13" s="6"/>
      <c r="B13" s="18"/>
      <c r="C13" s="19"/>
      <c r="D13" s="15"/>
      <c r="E13" s="54"/>
      <c r="F13" s="55"/>
    </row>
    <row r="14" ht="33" customHeight="1" spans="1:6">
      <c r="A14" s="6"/>
      <c r="B14" s="18"/>
      <c r="C14" s="19"/>
      <c r="D14" s="15"/>
      <c r="E14" s="54"/>
      <c r="F14" s="55"/>
    </row>
    <row r="15" ht="33" customHeight="1" spans="1:6">
      <c r="A15" s="6"/>
      <c r="B15" s="18"/>
      <c r="C15" s="19"/>
      <c r="D15" s="15"/>
      <c r="E15" s="54"/>
      <c r="F15" s="55"/>
    </row>
    <row r="16" ht="33" customHeight="1" spans="1:6">
      <c r="A16" s="6"/>
      <c r="B16" s="18"/>
      <c r="C16" s="19"/>
      <c r="D16" s="15"/>
      <c r="E16" s="54"/>
      <c r="F16" s="55"/>
    </row>
    <row r="17" ht="36" customHeight="1" spans="1:6">
      <c r="A17" s="6"/>
      <c r="B17" s="20" t="s">
        <v>220</v>
      </c>
      <c r="C17" s="21"/>
      <c r="D17" s="15"/>
      <c r="E17" s="56">
        <f>E8+E9+E10+E11+E12+E13+E14+E15+E16</f>
        <v>0</v>
      </c>
      <c r="F17" s="57"/>
    </row>
    <row r="18" ht="33" customHeight="1" spans="1:7">
      <c r="A18" s="6"/>
      <c r="B18" s="22" t="s">
        <v>221</v>
      </c>
      <c r="C18" s="6"/>
      <c r="D18" s="6"/>
      <c r="E18" s="58"/>
      <c r="F18" s="59"/>
      <c r="G18" s="41"/>
    </row>
    <row r="19" ht="38" customHeight="1" spans="1:7">
      <c r="A19" s="6"/>
      <c r="B19" s="23" t="s">
        <v>222</v>
      </c>
      <c r="C19" s="24" t="s">
        <v>245</v>
      </c>
      <c r="D19" s="25"/>
      <c r="E19" s="60"/>
      <c r="F19" s="61"/>
      <c r="G19" s="62" t="s">
        <v>224</v>
      </c>
    </row>
    <row r="20" ht="38" customHeight="1" spans="1:7">
      <c r="A20" s="6"/>
      <c r="B20" s="23" t="s">
        <v>225</v>
      </c>
      <c r="C20" s="26" t="s">
        <v>246</v>
      </c>
      <c r="D20" s="25"/>
      <c r="E20" s="60"/>
      <c r="F20" s="63"/>
      <c r="G20" s="62" t="s">
        <v>227</v>
      </c>
    </row>
    <row r="21" ht="38" customHeight="1" spans="1:7">
      <c r="A21" s="6"/>
      <c r="B21" s="23" t="s">
        <v>228</v>
      </c>
      <c r="C21" s="24" t="s">
        <v>245</v>
      </c>
      <c r="D21" s="25"/>
      <c r="E21" s="60"/>
      <c r="F21" s="61"/>
      <c r="G21" s="62" t="s">
        <v>229</v>
      </c>
    </row>
    <row r="22" ht="38" customHeight="1" spans="1:7">
      <c r="A22" s="6"/>
      <c r="B22" s="23" t="s">
        <v>230</v>
      </c>
      <c r="C22" s="27" t="s">
        <v>247</v>
      </c>
      <c r="D22" s="21"/>
      <c r="E22" s="64"/>
      <c r="F22" s="61"/>
      <c r="G22" s="65" t="s">
        <v>198</v>
      </c>
    </row>
    <row r="23" ht="38" customHeight="1" spans="1:7">
      <c r="A23" s="6"/>
      <c r="B23" s="23" t="s">
        <v>231</v>
      </c>
      <c r="C23" s="28" t="s">
        <v>248</v>
      </c>
      <c r="D23" s="21"/>
      <c r="E23" s="64"/>
      <c r="F23" s="61"/>
      <c r="G23" s="65" t="s">
        <v>233</v>
      </c>
    </row>
    <row r="24" ht="38" customHeight="1" spans="1:10">
      <c r="A24" s="6"/>
      <c r="B24" s="23" t="s">
        <v>234</v>
      </c>
      <c r="C24" s="27" t="s">
        <v>249</v>
      </c>
      <c r="D24" s="21"/>
      <c r="E24" s="64"/>
      <c r="F24" s="61"/>
      <c r="G24" s="65" t="s">
        <v>236</v>
      </c>
      <c r="J24" s="69"/>
    </row>
    <row r="25" ht="38" customHeight="1" spans="1:10">
      <c r="A25" s="6"/>
      <c r="B25" s="23" t="s">
        <v>237</v>
      </c>
      <c r="C25" s="29" t="s">
        <v>250</v>
      </c>
      <c r="D25" s="25"/>
      <c r="E25" s="60"/>
      <c r="F25" s="66"/>
      <c r="G25" s="62" t="s">
        <v>239</v>
      </c>
      <c r="J25" s="69"/>
    </row>
    <row r="26" ht="38" customHeight="1" spans="1:7">
      <c r="A26" s="6"/>
      <c r="B26" s="30" t="s">
        <v>240</v>
      </c>
      <c r="C26" s="31"/>
      <c r="D26" s="21"/>
      <c r="E26" s="64"/>
      <c r="F26" s="61"/>
      <c r="G26" s="65" t="s">
        <v>241</v>
      </c>
    </row>
    <row r="27" ht="45" customHeight="1" spans="1:7">
      <c r="A27" s="6"/>
      <c r="B27" s="32"/>
      <c r="C27" s="33"/>
      <c r="D27" s="33"/>
      <c r="E27" s="67"/>
      <c r="F27" s="34"/>
      <c r="G27" s="1"/>
    </row>
    <row r="28" ht="54" customHeight="1" spans="2:7">
      <c r="B28" s="34"/>
      <c r="C28" s="35"/>
      <c r="D28" s="36"/>
      <c r="E28" s="36"/>
      <c r="F28" s="36"/>
      <c r="G28" s="41"/>
    </row>
    <row r="29" ht="42" customHeight="1" spans="2:7">
      <c r="B29" s="37"/>
      <c r="C29" s="37"/>
      <c r="D29" s="38"/>
      <c r="G29" s="38"/>
    </row>
    <row r="30" ht="30" customHeight="1" spans="3:7">
      <c r="C30" s="2"/>
      <c r="D30" s="3"/>
      <c r="E30" s="3"/>
      <c r="F30" s="3"/>
      <c r="G30" s="68"/>
    </row>
    <row r="31" ht="30" customHeight="1" spans="3:7">
      <c r="C31" s="2"/>
      <c r="D31" s="3"/>
      <c r="E31" s="3"/>
      <c r="F31" s="3"/>
      <c r="G31" s="68"/>
    </row>
    <row r="32" ht="22" customHeight="1" spans="3:7">
      <c r="C32" s="39"/>
      <c r="D32" s="2"/>
      <c r="E32" s="2"/>
      <c r="F32" s="2"/>
      <c r="G32" s="68"/>
    </row>
    <row r="33" ht="22" customHeight="1" spans="3:7">
      <c r="C33" s="39"/>
      <c r="D33" s="1"/>
      <c r="E33" s="1"/>
      <c r="F33" s="1"/>
      <c r="G33" s="68"/>
    </row>
    <row r="34" ht="22" customHeight="1" spans="1:7">
      <c r="A34" s="1"/>
      <c r="C34" s="39"/>
      <c r="D34" s="1"/>
      <c r="E34" s="1"/>
      <c r="F34" s="1"/>
      <c r="G34" s="40"/>
    </row>
    <row r="35" ht="22" customHeight="1" spans="1:7">
      <c r="A35" s="1"/>
      <c r="C35" s="39"/>
      <c r="D35" s="1"/>
      <c r="E35" s="1"/>
      <c r="F35" s="1"/>
      <c r="G35" s="40"/>
    </row>
    <row r="36" ht="22" customHeight="1" spans="1:7">
      <c r="A36" s="1"/>
      <c r="C36" s="39"/>
      <c r="D36" s="1"/>
      <c r="E36" s="1"/>
      <c r="F36" s="1"/>
      <c r="G36" s="40"/>
    </row>
    <row r="37" ht="22" customHeight="1" spans="1:7">
      <c r="A37" s="1"/>
      <c r="C37" s="39"/>
      <c r="D37" s="1"/>
      <c r="E37" s="1"/>
      <c r="F37" s="1"/>
      <c r="G37" s="40"/>
    </row>
    <row r="38" ht="22" customHeight="1" spans="1:7">
      <c r="A38" s="1"/>
      <c r="C38" s="39"/>
      <c r="D38" s="1"/>
      <c r="E38" s="1"/>
      <c r="F38" s="1"/>
      <c r="G38" s="40"/>
    </row>
    <row r="39" ht="22" customHeight="1" spans="1:7">
      <c r="A39" s="1"/>
      <c r="C39" s="39"/>
      <c r="D39" s="1"/>
      <c r="E39" s="1"/>
      <c r="F39" s="1"/>
      <c r="G39" s="40"/>
    </row>
    <row r="40" ht="22" customHeight="1" spans="1:7">
      <c r="A40" s="1"/>
      <c r="C40" s="39"/>
      <c r="D40" s="1"/>
      <c r="E40" s="1"/>
      <c r="F40" s="1"/>
      <c r="G40" s="40"/>
    </row>
    <row r="41" ht="22" customHeight="1" spans="1:7">
      <c r="A41" s="1"/>
      <c r="C41" s="39"/>
      <c r="D41" s="1"/>
      <c r="E41" s="1"/>
      <c r="F41" s="1"/>
      <c r="G41" s="40"/>
    </row>
    <row r="42" ht="22" customHeight="1" spans="1:7">
      <c r="A42" s="1"/>
      <c r="C42" s="39"/>
      <c r="D42" s="1"/>
      <c r="E42" s="1"/>
      <c r="F42" s="1"/>
      <c r="G42" s="40"/>
    </row>
    <row r="43" ht="22" customHeight="1" spans="1:7">
      <c r="A43" s="1"/>
      <c r="C43" s="39"/>
      <c r="D43" s="1"/>
      <c r="E43" s="1"/>
      <c r="F43" s="1"/>
      <c r="G43" s="40"/>
    </row>
    <row r="44" ht="22" customHeight="1" spans="1:7">
      <c r="A44" s="1"/>
      <c r="C44" s="39"/>
      <c r="D44" s="1"/>
      <c r="E44" s="1"/>
      <c r="F44" s="1"/>
      <c r="G44" s="40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26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G7:G17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FBU-加拿大谷仓发票模版-GST税率5%（正数）</vt:lpstr>
      <vt:lpstr>FBU-加拿大谷仓发票模版-GST税率5%（负数）</vt:lpstr>
      <vt:lpstr>FBU-加拿大谷仓发票模版-HST税率13%（正数）</vt:lpstr>
      <vt:lpstr>FBU-加拿大谷仓发票模版-HST税率13%（负数）</vt:lpstr>
      <vt:lpstr>FBU-温哥华模版-GST税率(0%、5%）正数</vt:lpstr>
      <vt:lpstr>FBU-温哥华模版-GST税率(0%、5%）负数</vt:lpstr>
      <vt:lpstr>FBU-温哥华模版-HST税率(（13%、14%、15%）正数</vt:lpstr>
      <vt:lpstr>FBU-温哥华模版-HST税率（13%、14%、15%）负数</vt:lpstr>
      <vt:lpstr>FBU-美国EL发票模板-US invoice（正数）</vt:lpstr>
      <vt:lpstr>FBU-美国EL发票模板-US credit note（负数）</vt:lpstr>
      <vt:lpstr>FBU-美国GA发票模板-GAUS invoice（正数）</vt:lpstr>
      <vt:lpstr>FBU-美国GA发票模板-GAUS credit note（负</vt:lpstr>
      <vt:lpstr>FBU-日本谷仓开票模版</vt:lpstr>
      <vt:lpstr>FBU-澳洲谷仓开票模板</vt:lpstr>
      <vt:lpstr>ABU-香港云颂开票模板</vt:lpstr>
      <vt:lpstr>ABU-深圳云颂开票模板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Lq  </cp:lastModifiedBy>
  <dcterms:created xsi:type="dcterms:W3CDTF">2026-07-10T09:44:09Z</dcterms:created>
  <dcterms:modified xsi:type="dcterms:W3CDTF">2026-07-13T14:53:38Z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475EB2B65D4D13BA94BE506AD3A84820_42</vt:lpwstr>
  </property>
</Properties>
</file>