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澳洲谷仓" sheetId="1" r:id="rId1"/>
  </sheets>
  <definedNames>
    <definedName name="_xlnm.Print_Area" localSheetId="0">澳洲谷仓!$B$1:$G$43</definedName>
  </definedNames>
  <calcPr calcId="144525"/>
</workbook>
</file>

<file path=xl/comments1.xml><?xml version="1.0" encoding="utf-8"?>
<comments xmlns="http://schemas.openxmlformats.org/spreadsheetml/2006/main">
  <authors>
    <author>zt21664</author>
  </authors>
  <commentList>
    <comment ref="F3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目前FSSC开票信息与历史开票不一致</t>
        </r>
      </text>
    </comment>
  </commentList>
</comments>
</file>

<file path=xl/sharedStrings.xml><?xml version="1.0" encoding="utf-8"?>
<sst xmlns="http://schemas.openxmlformats.org/spreadsheetml/2006/main" count="47" uniqueCount="41">
  <si>
    <t>TAX INVOICE</t>
  </si>
  <si>
    <t>Invoice Date</t>
  </si>
  <si>
    <t>Everfast Pty Ltd</t>
  </si>
  <si>
    <t>Invoice Date：格式（ 日-月-年）
来源系统为FPS，开票日期为发票审核日期   
来源系统为ITS，开票日期为账单周期最后一天</t>
  </si>
  <si>
    <t>42-62 POUND ROAD W，
DANDENONG SOUTH VIC 3175</t>
  </si>
  <si>
    <t>客户名称</t>
  </si>
  <si>
    <t>Invoice Number</t>
  </si>
  <si>
    <t>Invoice Number：发票号码 EPAUS+yyyy+mm+B+序号(3位）</t>
  </si>
  <si>
    <t>客户地址</t>
  </si>
  <si>
    <t>EPAUS202605B019</t>
  </si>
  <si>
    <t>Reference</t>
  </si>
  <si>
    <t>ABN</t>
  </si>
  <si>
    <t>75 623 285 825</t>
  </si>
  <si>
    <t>ABN：默认</t>
  </si>
  <si>
    <t>Description</t>
  </si>
  <si>
    <t>Quantity</t>
  </si>
  <si>
    <t>Unit Price</t>
  </si>
  <si>
    <t>GST</t>
  </si>
  <si>
    <t>Amount AUD</t>
  </si>
  <si>
    <t>Description：开票品名-dd/mm/yyyy-dd/mm/yyyy（账期）
Quantity：默认为1
Unit Price=Amount AUD
GST：10%</t>
  </si>
  <si>
    <t>Warehouse Storage Service Fees--01/02/2026-28/02/2026</t>
  </si>
  <si>
    <t>Handling Fees-01/02/2026-28/02/2026</t>
  </si>
  <si>
    <t>Subtotal</t>
  </si>
  <si>
    <t>TOTAL  GST  10%</t>
  </si>
  <si>
    <t>TOTAL AUD</t>
  </si>
  <si>
    <t>Due Date:</t>
  </si>
  <si>
    <t>根据客户账期变动</t>
  </si>
  <si>
    <t>Bank Name: Citibank</t>
  </si>
  <si>
    <t>默认</t>
  </si>
  <si>
    <t>Account Name: Everfast Pty Ltd</t>
  </si>
  <si>
    <t>BSB: 242-000</t>
  </si>
  <si>
    <t>Account No: 236077004</t>
  </si>
  <si>
    <t>发票备注</t>
  </si>
  <si>
    <t>如有赋值发票备注</t>
  </si>
  <si>
    <t xml:space="preserve"> </t>
  </si>
  <si>
    <t>PAYMENT ADVICE</t>
  </si>
  <si>
    <t>Customer</t>
  </si>
  <si>
    <t>To:</t>
  </si>
  <si>
    <t>Amount Due</t>
  </si>
  <si>
    <t>Due Date</t>
  </si>
  <si>
    <t>Amount Enclosed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</si>
</sst>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28"/>
      <color rgb="FF000000"/>
      <name val="微软雅黑"/>
      <charset val="134"/>
    </font>
    <font>
      <sz val="24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0.5"/>
      <color rgb="FF000000"/>
      <name val="微软雅黑"/>
      <charset val="134"/>
    </font>
    <font>
      <sz val="10.5"/>
      <color rgb="FFFF000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5" fontId="6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righ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176" fontId="7" fillId="0" borderId="2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5" fontId="7" fillId="3" borderId="0" xfId="0" applyNumberFormat="1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15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9" fontId="1" fillId="0" borderId="3" xfId="0" applyNumberFormat="1" applyFont="1" applyBorder="1" applyAlignment="1">
      <alignment horizontal="center" vertical="center" wrapText="1"/>
    </xf>
    <xf numFmtId="9" fontId="1" fillId="0" borderId="2" xfId="0" applyNumberFormat="1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9" fontId="7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76" fontId="11" fillId="0" borderId="4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76" fontId="7" fillId="0" borderId="0" xfId="0" applyNumberFormat="1" applyFont="1" applyBorder="1" applyAlignment="1">
      <alignment horizontal="left" vertical="center" wrapText="1"/>
    </xf>
    <xf numFmtId="15" fontId="7" fillId="0" borderId="0" xfId="0" applyNumberFormat="1" applyFont="1" applyAlignment="1">
      <alignment horizontal="left" vertical="center"/>
    </xf>
    <xf numFmtId="15" fontId="6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30</xdr:row>
      <xdr:rowOff>28575</xdr:rowOff>
    </xdr:from>
    <xdr:to>
      <xdr:col>4</xdr:col>
      <xdr:colOff>21590</xdr:colOff>
      <xdr:row>30</xdr:row>
      <xdr:rowOff>176530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74980" y="10004425"/>
          <a:ext cx="6506210" cy="147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1504950</xdr:colOff>
      <xdr:row>36</xdr:row>
      <xdr:rowOff>46990</xdr:rowOff>
    </xdr:from>
    <xdr:to>
      <xdr:col>6</xdr:col>
      <xdr:colOff>0</xdr:colOff>
      <xdr:row>37</xdr:row>
      <xdr:rowOff>155575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424545" y="12207240"/>
          <a:ext cx="1939290" cy="426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106680</xdr:colOff>
      <xdr:row>1</xdr:row>
      <xdr:rowOff>95885</xdr:rowOff>
    </xdr:from>
    <xdr:to>
      <xdr:col>21</xdr:col>
      <xdr:colOff>407670</xdr:colOff>
      <xdr:row>41</xdr:row>
      <xdr:rowOff>29210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027275" y="413385"/>
          <a:ext cx="8366760" cy="130511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6"/>
  </sheetPr>
  <dimension ref="B1:M46"/>
  <sheetViews>
    <sheetView tabSelected="1" view="pageBreakPreview" zoomScale="70" zoomScaleNormal="40" workbookViewId="0">
      <selection activeCell="B28" sqref="B28"/>
    </sheetView>
  </sheetViews>
  <sheetFormatPr defaultColWidth="9" defaultRowHeight="16.8"/>
  <cols>
    <col min="1" max="1" width="7.04807692307692" style="1" customWidth="1"/>
    <col min="2" max="2" width="62.2692307692308" style="1" customWidth="1"/>
    <col min="3" max="3" width="21.8173076923077" style="1" customWidth="1"/>
    <col min="4" max="4" width="14.25" style="1" customWidth="1"/>
    <col min="5" max="5" width="22.1826923076923" style="1" customWidth="1"/>
    <col min="6" max="6" width="29.3653846153846" style="1" customWidth="1"/>
    <col min="7" max="7" width="9" style="1"/>
    <col min="8" max="8" width="60" style="2" customWidth="1"/>
    <col min="9" max="9" width="14.1346153846154" style="1"/>
    <col min="10" max="16384" width="9" style="1"/>
  </cols>
  <sheetData>
    <row r="1" s="1" customFormat="1" ht="25" customHeight="1" spans="2:8">
      <c r="B1" s="3" t="s">
        <v>0</v>
      </c>
      <c r="H1" s="2"/>
    </row>
    <row r="2" s="1" customFormat="1" ht="48" customHeight="1" spans="2:8">
      <c r="B2" s="3"/>
      <c r="C2" s="4"/>
      <c r="D2" s="5"/>
      <c r="E2" s="10" t="s">
        <v>1</v>
      </c>
      <c r="F2" s="26" t="s">
        <v>2</v>
      </c>
      <c r="H2" s="27" t="s">
        <v>3</v>
      </c>
    </row>
    <row r="3" s="1" customFormat="1" ht="25" customHeight="1" spans="2:8">
      <c r="B3" s="4"/>
      <c r="C3" s="4"/>
      <c r="D3" s="6"/>
      <c r="E3" s="28">
        <v>46164</v>
      </c>
      <c r="F3" s="29" t="s">
        <v>4</v>
      </c>
      <c r="H3" s="2"/>
    </row>
    <row r="4" s="1" customFormat="1" ht="25" customHeight="1" spans="2:13">
      <c r="B4" s="7" t="s">
        <v>5</v>
      </c>
      <c r="C4" s="4"/>
      <c r="D4" s="5"/>
      <c r="E4" s="10" t="s">
        <v>6</v>
      </c>
      <c r="F4" s="29"/>
      <c r="H4" s="30" t="s">
        <v>7</v>
      </c>
      <c r="I4" s="47"/>
      <c r="J4" s="47"/>
      <c r="K4" s="47"/>
      <c r="L4" s="47"/>
      <c r="M4" s="47"/>
    </row>
    <row r="5" s="1" customFormat="1" ht="25" customHeight="1" spans="2:8">
      <c r="B5" s="7" t="s">
        <v>8</v>
      </c>
      <c r="D5" s="8"/>
      <c r="E5" s="26" t="s">
        <v>9</v>
      </c>
      <c r="F5" s="29"/>
      <c r="H5" s="2"/>
    </row>
    <row r="6" s="1" customFormat="1" ht="25" customHeight="1" spans="2:8">
      <c r="B6" s="9"/>
      <c r="D6" s="5"/>
      <c r="E6" s="10" t="s">
        <v>10</v>
      </c>
      <c r="H6" s="2"/>
    </row>
    <row r="7" s="1" customFormat="1" ht="25" customHeight="1" spans="2:8">
      <c r="B7" s="10"/>
      <c r="D7" s="8"/>
      <c r="E7" s="26" t="str">
        <f>E5</f>
        <v>EPAUS202605B019</v>
      </c>
      <c r="H7" s="2"/>
    </row>
    <row r="8" s="1" customFormat="1" ht="25" customHeight="1" spans="2:8">
      <c r="B8" s="10"/>
      <c r="D8" s="5"/>
      <c r="E8" s="10" t="s">
        <v>11</v>
      </c>
      <c r="H8" s="2"/>
    </row>
    <row r="9" s="1" customFormat="1" ht="25" customHeight="1" spans="2:8">
      <c r="B9" s="8"/>
      <c r="D9" s="8"/>
      <c r="E9" s="9" t="s">
        <v>12</v>
      </c>
      <c r="H9" s="2" t="s">
        <v>13</v>
      </c>
    </row>
    <row r="10" s="1" customFormat="1" ht="25" customHeight="1" spans="2:8">
      <c r="B10" s="8"/>
      <c r="H10" s="2"/>
    </row>
    <row r="11" s="1" customFormat="1" ht="25" customHeight="1" spans="2:8">
      <c r="B11" s="8"/>
      <c r="H11" s="2"/>
    </row>
    <row r="12" s="1" customFormat="1" ht="25" customHeight="1" spans="2:8">
      <c r="B12" s="8"/>
      <c r="H12" s="2"/>
    </row>
    <row r="13" s="1" customFormat="1" ht="25" customHeight="1" spans="2:8">
      <c r="B13" s="11" t="s">
        <v>14</v>
      </c>
      <c r="C13" s="12" t="s">
        <v>15</v>
      </c>
      <c r="D13" s="12" t="s">
        <v>16</v>
      </c>
      <c r="E13" s="12" t="s">
        <v>17</v>
      </c>
      <c r="F13" s="31" t="s">
        <v>18</v>
      </c>
      <c r="H13" s="32" t="s">
        <v>19</v>
      </c>
    </row>
    <row r="14" s="1" customFormat="1" ht="34.75" spans="2:8">
      <c r="B14" s="13" t="s">
        <v>20</v>
      </c>
      <c r="C14" s="14">
        <v>1</v>
      </c>
      <c r="D14" s="15">
        <v>14546</v>
      </c>
      <c r="E14" s="33">
        <v>0.1</v>
      </c>
      <c r="F14" s="15">
        <f>D14</f>
        <v>14546</v>
      </c>
      <c r="H14" s="30"/>
    </row>
    <row r="15" s="1" customFormat="1" ht="17.75" spans="2:8">
      <c r="B15" s="13" t="s">
        <v>21</v>
      </c>
      <c r="C15" s="16">
        <v>1</v>
      </c>
      <c r="D15" s="17">
        <v>51303.26</v>
      </c>
      <c r="E15" s="34">
        <v>0.1</v>
      </c>
      <c r="F15" s="17">
        <f>D15</f>
        <v>51303.26</v>
      </c>
      <c r="H15" s="30"/>
    </row>
    <row r="16" s="1" customFormat="1" ht="25" customHeight="1" spans="2:8">
      <c r="B16" s="13"/>
      <c r="C16" s="16"/>
      <c r="D16" s="17"/>
      <c r="E16" s="35"/>
      <c r="F16" s="17"/>
      <c r="H16" s="30"/>
    </row>
    <row r="17" s="1" customFormat="1" ht="25" customHeight="1" spans="2:8">
      <c r="B17" s="18"/>
      <c r="C17" s="19"/>
      <c r="D17" s="20"/>
      <c r="E17" s="36"/>
      <c r="F17" s="20"/>
      <c r="H17" s="30"/>
    </row>
    <row r="18" s="1" customFormat="1" ht="25" customHeight="1" spans="2:8">
      <c r="B18" s="9"/>
      <c r="F18" s="37"/>
      <c r="H18" s="2"/>
    </row>
    <row r="19" s="1" customFormat="1" ht="25" customHeight="1" spans="5:8">
      <c r="E19" s="38" t="s">
        <v>22</v>
      </c>
      <c r="F19" s="39">
        <f>F14+F15</f>
        <v>65849.26</v>
      </c>
      <c r="H19" s="2"/>
    </row>
    <row r="20" s="1" customFormat="1" ht="25" customHeight="1" spans="2:8">
      <c r="B20" s="9"/>
      <c r="E20" s="38" t="s">
        <v>23</v>
      </c>
      <c r="F20" s="39">
        <f>F19*0.1</f>
        <v>6584.926</v>
      </c>
      <c r="H20" s="2"/>
    </row>
    <row r="21" s="1" customFormat="1" ht="25" customHeight="1" spans="2:8">
      <c r="B21" s="21"/>
      <c r="E21" s="40" t="s">
        <v>24</v>
      </c>
      <c r="F21" s="41">
        <f>F19+F20</f>
        <v>72434.186</v>
      </c>
      <c r="H21" s="2"/>
    </row>
    <row r="22" s="1" customFormat="1" ht="25" customHeight="1" spans="2:8">
      <c r="B22" s="21"/>
      <c r="H22" s="2"/>
    </row>
    <row r="23" s="1" customFormat="1" ht="25" customHeight="1" spans="2:8">
      <c r="B23" s="22" t="s">
        <v>25</v>
      </c>
      <c r="C23" s="23">
        <f>E3+0</f>
        <v>46164</v>
      </c>
      <c r="D23" s="1" t="s">
        <v>26</v>
      </c>
      <c r="H23" s="2"/>
    </row>
    <row r="24" s="1" customFormat="1" ht="25" customHeight="1" spans="2:8">
      <c r="B24" s="9" t="s">
        <v>27</v>
      </c>
      <c r="H24" s="30" t="s">
        <v>28</v>
      </c>
    </row>
    <row r="25" s="1" customFormat="1" ht="25" customHeight="1" spans="2:8">
      <c r="B25" s="9" t="s">
        <v>29</v>
      </c>
      <c r="H25" s="30"/>
    </row>
    <row r="26" s="1" customFormat="1" ht="25" customHeight="1" spans="2:8">
      <c r="B26" s="9" t="s">
        <v>30</v>
      </c>
      <c r="H26" s="30"/>
    </row>
    <row r="27" s="1" customFormat="1" ht="25" customHeight="1" spans="2:8">
      <c r="B27" s="9" t="s">
        <v>31</v>
      </c>
      <c r="H27" s="30"/>
    </row>
    <row r="28" s="1" customFormat="1" ht="35" customHeight="1" spans="2:8">
      <c r="B28" s="24" t="s">
        <v>32</v>
      </c>
      <c r="H28" s="2" t="s">
        <v>33</v>
      </c>
    </row>
    <row r="29" s="1" customFormat="1" ht="25" customHeight="1" spans="2:8">
      <c r="B29" s="21" t="s">
        <v>34</v>
      </c>
      <c r="H29" s="2"/>
    </row>
    <row r="30" s="1" customFormat="1" ht="25" customHeight="1" spans="2:8">
      <c r="B30" s="21" t="s">
        <v>34</v>
      </c>
      <c r="H30" s="2"/>
    </row>
    <row r="31" s="1" customFormat="1" ht="25" customHeight="1" spans="2:8">
      <c r="B31" s="21" t="s">
        <v>34</v>
      </c>
      <c r="H31" s="2"/>
    </row>
    <row r="32" s="1" customFormat="1" ht="35" customHeight="1" spans="2:8">
      <c r="B32" s="3" t="s">
        <v>35</v>
      </c>
      <c r="C32" s="3"/>
      <c r="H32" s="2"/>
    </row>
    <row r="33" s="1" customFormat="1" ht="37" customHeight="1" spans="5:8">
      <c r="E33" s="10" t="s">
        <v>36</v>
      </c>
      <c r="F33" s="42" t="str">
        <f>B4</f>
        <v>客户名称</v>
      </c>
      <c r="H33" s="2"/>
    </row>
    <row r="34" s="1" customFormat="1" ht="25" customHeight="1" spans="2:8">
      <c r="B34" s="9" t="s">
        <v>37</v>
      </c>
      <c r="E34" s="10" t="s">
        <v>6</v>
      </c>
      <c r="F34" s="9" t="str">
        <f>E5</f>
        <v>EPAUS202605B019</v>
      </c>
      <c r="H34" s="2"/>
    </row>
    <row r="35" s="1" customFormat="1" ht="25" customHeight="1" spans="2:8">
      <c r="B35" s="9" t="s">
        <v>2</v>
      </c>
      <c r="E35" s="43" t="s">
        <v>38</v>
      </c>
      <c r="F35" s="44">
        <f>F21</f>
        <v>72434.186</v>
      </c>
      <c r="H35" s="2"/>
    </row>
    <row r="36" s="1" customFormat="1" ht="25" customHeight="1" spans="2:8">
      <c r="B36" s="25" t="s">
        <v>4</v>
      </c>
      <c r="E36" s="43" t="s">
        <v>39</v>
      </c>
      <c r="F36" s="45">
        <f>E3</f>
        <v>46164</v>
      </c>
      <c r="H36" s="2"/>
    </row>
    <row r="37" s="1" customFormat="1" ht="25" customHeight="1" spans="2:8">
      <c r="B37" s="25"/>
      <c r="E37" s="10" t="s">
        <v>40</v>
      </c>
      <c r="F37" s="46"/>
      <c r="H37" s="2"/>
    </row>
    <row r="38" s="1" customFormat="1" ht="25" customHeight="1" spans="5:8">
      <c r="E38" s="8"/>
      <c r="H38" s="2"/>
    </row>
    <row r="40" s="1" customFormat="1" spans="2:8">
      <c r="B40" s="21" t="s">
        <v>34</v>
      </c>
      <c r="H40" s="2"/>
    </row>
    <row r="46" s="1" customFormat="1" spans="2:8">
      <c r="B46" s="8"/>
      <c r="H46" s="2"/>
    </row>
  </sheetData>
  <sheetProtection formatCells="0" formatColumns="0" formatRows="0" insertRows="0" insertColumns="0" insertHyperlinks="0" deleteColumns="0" deleteRows="0" sort="0" autoFilter="0" pivotTables="0"/>
  <mergeCells count="7">
    <mergeCell ref="H4:M4"/>
    <mergeCell ref="B32:C32"/>
    <mergeCell ref="B1:B2"/>
    <mergeCell ref="B36:B37"/>
    <mergeCell ref="F3:F5"/>
    <mergeCell ref="H13:H17"/>
    <mergeCell ref="H24:H27"/>
  </mergeCells>
  <pageMargins left="0.75" right="0.275" top="0.629861111111111" bottom="0.432638888888889" header="0.314583333333333" footer="0.236111111111111"/>
  <pageSetup paperSize="9" scale="59" orientation="portrait"/>
  <headerFooter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澳洲谷仓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zt21664</dc:creator>
  <cp:lastModifiedBy>Lq  </cp:lastModifiedBy>
  <dcterms:created xsi:type="dcterms:W3CDTF">2026-06-11T15:45:00Z</dcterms:created>
  <dcterms:modified xsi:type="dcterms:W3CDTF">2026-06-17T10:38:21Z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DA64ACA1DC1A485D9F44E8A498056B02</vt:lpwstr>
  </property>
  <property fmtid="{D5CDD505-2E9C-101B-9397-08002B2CF9AE}" pid="3" name="KSOProductBuildVer">
    <vt:lpwstr>2052-6.2.2.8394</vt:lpwstr>
  </property>
</Properties>
</file>